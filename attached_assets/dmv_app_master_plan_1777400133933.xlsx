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Executive Summary" sheetId="1" state="visible" r:id="rId3"/>
    <sheet name="2. State-by-State Plan" sheetId="2" state="visible" r:id="rId4"/>
    <sheet name="3. Tier 1 Launch Detail" sheetId="3" state="visible" r:id="rId5"/>
    <sheet name="4. Product Architecture" sheetId="4" state="visible" r:id="rId6"/>
    <sheet name="5. Pricing Strategy" sheetId="5" state="visible" r:id="rId7"/>
    <sheet name="6. Marketing Playbook" sheetId="6" state="visible" r:id="rId8"/>
    <sheet name="7. Revenue Projection" sheetId="7" state="visible" r:id="rId9"/>
    <sheet name="8. Risk Register" sheetId="8" state="visible" r:id="rId10"/>
    <sheet name="9. Pre-Launch Checklist" sheetId="9" state="visible" r:id="rId11"/>
    <sheet name="10. 12-Month Roadmap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<sst xmlns="http://schemas.openxmlformats.org/spreadsheetml/2006/main" count="1169" uniqueCount="669">
  <si>
    <t xml:space="preserve">DMV Permit Prep App — Master Plan</t>
  </si>
  <si>
    <t xml:space="preserve">Best-to-worst state launch plan with content, marketing, and revenue model</t>
  </si>
  <si>
    <t xml:space="preserve">Total addressable market: 51 US jurisdictions, ~17M new permit/license tests/year</t>
  </si>
  <si>
    <t xml:space="preserve">THE VISION</t>
  </si>
  <si>
    <t xml:space="preserve">• ONE engine — 51 content packs. Build the iOS test-prep engine once; ship state-specific question banks as separate App Store SKUs.</t>
  </si>
  <si>
    <t xml:space="preserve">• PERFECT means principled, not bloated. Three perfect features beat ten mediocre ones. Procreate Pocket model: do ONE thing extremely well, charge a fair one-time price.</t>
  </si>
  <si>
    <t xml:space="preserve">• PRIVACY-FIRST is the wedge. No accounts, no cloud, no ads, no tracking. Free competitors (DMV Genie, iDriverManual) are ad-bloated. Premium ones are subscriptions. Buy-once $4.99 + no surveillance = differentiator.</t>
  </si>
  <si>
    <t xml:space="preserve">• MULTILINGUAL is the moat. California's official test is in 24+ languages. Florida just removed Spanish/Creole testing — bilingual STUDY app for Florida is a generational gap.</t>
  </si>
  <si>
    <t xml:space="preserve">• STATE-SPECIFIC is the table-stakes. Real agency names (DMV vs DPS vs DDS vs MVA vs RMV), real fines, real local rules. No 'generic permit prep' nonsense.</t>
  </si>
  <si>
    <t xml:space="preserve">YEAR 1 TARGETS</t>
  </si>
  <si>
    <t xml:space="preserve">Metric</t>
  </si>
  <si>
    <t xml:space="preserve">Target</t>
  </si>
  <si>
    <t xml:space="preserve">Stretch</t>
  </si>
  <si>
    <t xml:space="preserve">Notes</t>
  </si>
  <si>
    <t xml:space="preserve">States shipped</t>
  </si>
  <si>
    <t xml:space="preserve">4 (FL, TX, CA, NY)</t>
  </si>
  <si>
    <t xml:space="preserve">10</t>
  </si>
  <si>
    <t xml:space="preserve">Tier 1 covers ~33% of US population</t>
  </si>
  <si>
    <t xml:space="preserve">Total downloads</t>
  </si>
  <si>
    <t xml:space="preserve">50,000</t>
  </si>
  <si>
    <t xml:space="preserve">150,000</t>
  </si>
  <si>
    <t xml:space="preserve">Apple Search Ads + TikTok content + driving-school partnerships</t>
  </si>
  <si>
    <t xml:space="preserve">Paid conversion</t>
  </si>
  <si>
    <t xml:space="preserve">8–12%</t>
  </si>
  <si>
    <t xml:space="preserve">15%</t>
  </si>
  <si>
    <t xml:space="preserve">Industry benchmark for paid utility apps</t>
  </si>
  <si>
    <t xml:space="preserve">Avg revenue per state</t>
  </si>
  <si>
    <t xml:space="preserve">$30K–80K</t>
  </si>
  <si>
    <t xml:space="preserve">$200K</t>
  </si>
  <si>
    <t xml:space="preserve">Tier 1 states; Tier 2/3 lower individually but cumulative</t>
  </si>
  <si>
    <t xml:space="preserve">Year 1 cumulative revenue</t>
  </si>
  <si>
    <t xml:space="preserve">$200K–400K</t>
  </si>
  <si>
    <t xml:space="preserve">$1M+</t>
  </si>
  <si>
    <t xml:space="preserve">Compounds as more state SKUs ship</t>
  </si>
  <si>
    <t xml:space="preserve">Year 2 (all 51 SKUs)</t>
  </si>
  <si>
    <t xml:space="preserve">$500K–1M</t>
  </si>
  <si>
    <t xml:space="preserve">$2M+</t>
  </si>
  <si>
    <t xml:space="preserve">Engine built; only content production scaling</t>
  </si>
  <si>
    <t xml:space="preserve">#</t>
  </si>
  <si>
    <t xml:space="preserve">State</t>
  </si>
  <si>
    <t xml:space="preserve">Code</t>
  </si>
  <si>
    <t xml:space="preserve">Pop (M)</t>
  </si>
  <si>
    <t xml:space="preserve">Agency</t>
  </si>
  <si>
    <t xml:space="preserve"># Qs</t>
  </si>
  <si>
    <t xml:space="preserve">Pass %</t>
  </si>
  <si>
    <t xml:space="preserve">Time (min)</t>
  </si>
  <si>
    <t xml:space="preserve">Languages on Real Test</t>
  </si>
  <si>
    <t xml:space="preserve">Online Test?</t>
  </si>
  <si>
    <t xml:space="preserve">Tier</t>
  </si>
  <si>
    <t xml:space="preserve">Launch Order</t>
  </si>
  <si>
    <t xml:space="preserve">Yr 1 Est. Rev ($K)</t>
  </si>
  <si>
    <t xml:space="preserve">State-Specific Notes</t>
  </si>
  <si>
    <t xml:space="preserve">Florida</t>
  </si>
  <si>
    <t xml:space="preserve">FL</t>
  </si>
  <si>
    <t xml:space="preserve">FLHSMV</t>
  </si>
  <si>
    <t xml:space="preserve">80%</t>
  </si>
  <si>
    <t xml:space="preserve">–</t>
  </si>
  <si>
    <t xml:space="preserve">EN ONLY</t>
  </si>
  <si>
    <t xml:space="preserve">Yes</t>
  </si>
  <si>
    <t xml:space="preserve">T1</t>
  </si>
  <si>
    <t xml:space="preserve">Verified: 50 Qs, 80%, Class E exam. ENGLISH-ONLY since Feb 6 2026 — huge bilingual STUDY app gap (Spanish/Creole speakers).</t>
  </si>
  <si>
    <t xml:space="preserve">Texas</t>
  </si>
  <si>
    <t xml:space="preserve">TX</t>
  </si>
  <si>
    <t xml:space="preserve">DPS</t>
  </si>
  <si>
    <t xml:space="preserve">70%</t>
  </si>
  <si>
    <t xml:space="preserve">EN, ES</t>
  </si>
  <si>
    <t xml:space="preserve">Verified: 30 Qs, 70%, two parts (15 signs + 15 traffic laws). Big Spanish market. ITAD course required for adults 18-24.</t>
  </si>
  <si>
    <t xml:space="preserve">New York</t>
  </si>
  <si>
    <t xml:space="preserve">NY</t>
  </si>
  <si>
    <t xml:space="preserve">DMV</t>
  </si>
  <si>
    <t xml:space="preserve">EN, ES, ZH, RU, KO, FR, IT, JA, PL, EL, AR, BN, UR</t>
  </si>
  <si>
    <t xml:space="preserve">Easiest test format (20 Qs, 70%). 13 languages. Big NYC immigrant audience.</t>
  </si>
  <si>
    <t xml:space="preserve">California</t>
  </si>
  <si>
    <t xml:space="preserve">CA</t>
  </si>
  <si>
    <t xml:space="preserve">83%</t>
  </si>
  <si>
    <t xml:space="preserve">EN, ES, ZH, VI, KO, RU, AR, JA, FR, IT, PT, TL, AM, HI, KM, HY, FA, PA, TH, HE, EL, ID, IL, NE</t>
  </si>
  <si>
    <t xml:space="preserve">Largest market. Highest competition. Multilingual is the moat (24+ languages on actual test).</t>
  </si>
  <si>
    <t xml:space="preserve">Pennsylvania</t>
  </si>
  <si>
    <t xml:space="preserve">PA</t>
  </si>
  <si>
    <t xml:space="preserve">PennDOT</t>
  </si>
  <si>
    <t xml:space="preserve">EN, ES, AR, KM, ZH, RU, KO, VI</t>
  </si>
  <si>
    <t xml:space="preserve">No</t>
  </si>
  <si>
    <t xml:space="preserve">T2</t>
  </si>
  <si>
    <t xml:space="preserve">Short test. Spanish + Mandarin needed. PennDOT terminology specific.</t>
  </si>
  <si>
    <t xml:space="preserve">Illinois</t>
  </si>
  <si>
    <t xml:space="preserve">IL</t>
  </si>
  <si>
    <t xml:space="preserve">Sec State</t>
  </si>
  <si>
    <t xml:space="preserve">EN, ES, PL, ZH, RU, KO, AR</t>
  </si>
  <si>
    <t xml:space="preserve">Sec of State runs DMV. Polish + Spanish significant. Chicago suburbs primary.</t>
  </si>
  <si>
    <t xml:space="preserve">Ohio</t>
  </si>
  <si>
    <t xml:space="preserve">OH</t>
  </si>
  <si>
    <t xml:space="preserve">BMV</t>
  </si>
  <si>
    <t xml:space="preserve">75%</t>
  </si>
  <si>
    <t xml:space="preserve">EN, ES, SO, AR</t>
  </si>
  <si>
    <t xml:space="preserve">BMV = Bureau of Motor Vehicles. Smaller language need. Somali community in Columbus/Cincinnati.</t>
  </si>
  <si>
    <t xml:space="preserve">Georgia</t>
  </si>
  <si>
    <t xml:space="preserve">GA</t>
  </si>
  <si>
    <t xml:space="preserve">DDS</t>
  </si>
  <si>
    <t xml:space="preserve">EN, ES, KO, ZH, VI, FR, RU, JA</t>
  </si>
  <si>
    <t xml:space="preserve">DDS = Dept of Driver Services. Atlanta has large Korean and Vietnamese communities.</t>
  </si>
  <si>
    <t xml:space="preserve">North Carolina</t>
  </si>
  <si>
    <t xml:space="preserve">NC</t>
  </si>
  <si>
    <t xml:space="preserve">EN, ES, ZH, KO, VI, AR, FR</t>
  </si>
  <si>
    <t xml:space="preserve">Charlotte/Raleigh growing immigrant markets. 80% pass.</t>
  </si>
  <si>
    <t xml:space="preserve">Michigan</t>
  </si>
  <si>
    <t xml:space="preserve">MI</t>
  </si>
  <si>
    <t xml:space="preserve">SOS</t>
  </si>
  <si>
    <t xml:space="preserve">EN, ES, AR</t>
  </si>
  <si>
    <t xml:space="preserve">SOS = Sec of State. Dearborn has largest Arab-American community in US — Arabic critical.</t>
  </si>
  <si>
    <t xml:space="preserve">New Jersey</t>
  </si>
  <si>
    <t xml:space="preserve">NJ</t>
  </si>
  <si>
    <t xml:space="preserve">MVC</t>
  </si>
  <si>
    <t xml:space="preserve">EN, ES, AR, FR, JA, KO, PL, PT, ZH, IT, RU, GU, HI</t>
  </si>
  <si>
    <t xml:space="preserve">MVC = Motor Vehicle Commission. Hindu/Gujarati community significant. Polish near NYC.</t>
  </si>
  <si>
    <t xml:space="preserve">Virginia</t>
  </si>
  <si>
    <t xml:space="preserve">VA</t>
  </si>
  <si>
    <t xml:space="preserve">EN, ES, KO, VI, AR, ZH, FA, FR, RU</t>
  </si>
  <si>
    <t xml:space="preserve">DC suburbs = high educated immigrant population. NoVA tech professionals.</t>
  </si>
  <si>
    <t xml:space="preserve">Washington</t>
  </si>
  <si>
    <t xml:space="preserve">WA</t>
  </si>
  <si>
    <t xml:space="preserve">DOL</t>
  </si>
  <si>
    <t xml:space="preserve">EN, ES, ZH, KO, VI, RU, SO, UK</t>
  </si>
  <si>
    <t xml:space="preserve">DOL = Dept of Licensing. Seattle Russian/Ukrainian + tech immigrants.</t>
  </si>
  <si>
    <t xml:space="preserve">Arizona</t>
  </si>
  <si>
    <t xml:space="preserve">AZ</t>
  </si>
  <si>
    <t xml:space="preserve">MVD</t>
  </si>
  <si>
    <t xml:space="preserve">MVD. Phoenix growing fast. Spanish primary. No drivers ed required for adults.</t>
  </si>
  <si>
    <t xml:space="preserve">Massachusetts</t>
  </si>
  <si>
    <t xml:space="preserve">MA</t>
  </si>
  <si>
    <t xml:space="preserve">RMV</t>
  </si>
  <si>
    <t xml:space="preserve">72%</t>
  </si>
  <si>
    <t xml:space="preserve">EN, ES, PT, ZH, RU, FR, VI, KO, AR, IT, KM, JA, KO, SQ</t>
  </si>
  <si>
    <t xml:space="preserve">RMV = Registry of Motor Vehicles. Most languages of any state (35+). Portuguese strong.</t>
  </si>
  <si>
    <t xml:space="preserve">Tennessee</t>
  </si>
  <si>
    <t xml:space="preserve">TN</t>
  </si>
  <si>
    <t xml:space="preserve">DOS</t>
  </si>
  <si>
    <t xml:space="preserve">DOS = Dept of Safety. Nashville Hispanic growing. 70% pass = easier.</t>
  </si>
  <si>
    <t xml:space="preserve">Indiana</t>
  </si>
  <si>
    <t xml:space="preserve">IN</t>
  </si>
  <si>
    <t xml:space="preserve">84%</t>
  </si>
  <si>
    <t xml:space="preserve">EN, ES, ZH, KO, MY, AR</t>
  </si>
  <si>
    <t xml:space="preserve">BMV. Burmese community in Indianapolis significant.</t>
  </si>
  <si>
    <t xml:space="preserve">Missouri</t>
  </si>
  <si>
    <t xml:space="preserve">MO</t>
  </si>
  <si>
    <t xml:space="preserve">DOR</t>
  </si>
  <si>
    <t xml:space="preserve">DOR = Dept of Revenue. Limited language options.</t>
  </si>
  <si>
    <t xml:space="preserve">Maryland</t>
  </si>
  <si>
    <t xml:space="preserve">MD</t>
  </si>
  <si>
    <t xml:space="preserve">MVA</t>
  </si>
  <si>
    <t xml:space="preserve">88%</t>
  </si>
  <si>
    <t xml:space="preserve">EN, ES, ZH, KO, FR, RU, VI</t>
  </si>
  <si>
    <t xml:space="preserve">MVA. DC suburbs. High pass score (88%) - hard test.</t>
  </si>
  <si>
    <t xml:space="preserve">Wisconsin</t>
  </si>
  <si>
    <t xml:space="preserve">WI</t>
  </si>
  <si>
    <t xml:space="preserve">EN, ES, HMN</t>
  </si>
  <si>
    <t xml:space="preserve">Hmong community in Milwaukee/Wausau — Hmong language unique to WI/MN.</t>
  </si>
  <si>
    <t xml:space="preserve">Colorado</t>
  </si>
  <si>
    <t xml:space="preserve">CO</t>
  </si>
  <si>
    <t xml:space="preserve">T3</t>
  </si>
  <si>
    <t xml:space="preserve">Denver growing tech market. Spanish primary.</t>
  </si>
  <si>
    <t xml:space="preserve">Minnesota</t>
  </si>
  <si>
    <t xml:space="preserve">MN</t>
  </si>
  <si>
    <t xml:space="preserve">DVS</t>
  </si>
  <si>
    <t xml:space="preserve">EN, ES, SO, HMN, OM, KAR</t>
  </si>
  <si>
    <t xml:space="preserve">DVS. Twin Cities = largest Somali community in US. Karen refugees.</t>
  </si>
  <si>
    <t xml:space="preserve">South Carolina</t>
  </si>
  <si>
    <t xml:space="preserve">SC</t>
  </si>
  <si>
    <t xml:space="preserve">Limited language need.</t>
  </si>
  <si>
    <t xml:space="preserve">Alabama</t>
  </si>
  <si>
    <t xml:space="preserve">AL</t>
  </si>
  <si>
    <t xml:space="preserve">ALEA</t>
  </si>
  <si>
    <t xml:space="preserve">Small market.</t>
  </si>
  <si>
    <t xml:space="preserve">Louisiana</t>
  </si>
  <si>
    <t xml:space="preserve">LA</t>
  </si>
  <si>
    <t xml:space="preserve">OMV</t>
  </si>
  <si>
    <t xml:space="preserve">EN, ES, VI</t>
  </si>
  <si>
    <t xml:space="preserve">OMV. Vietnamese in New Orleans area.</t>
  </si>
  <si>
    <t xml:space="preserve">Kentucky</t>
  </si>
  <si>
    <t xml:space="preserve">KY</t>
  </si>
  <si>
    <t xml:space="preserve">KYTC</t>
  </si>
  <si>
    <t xml:space="preserve">Oregon</t>
  </si>
  <si>
    <t xml:space="preserve">OR</t>
  </si>
  <si>
    <t xml:space="preserve">EN, ES, RU, ZH, VI, KO, JA</t>
  </si>
  <si>
    <t xml:space="preserve">Portland Russian community.</t>
  </si>
  <si>
    <t xml:space="preserve">Oklahoma</t>
  </si>
  <si>
    <t xml:space="preserve">OK</t>
  </si>
  <si>
    <t xml:space="preserve">Connecticut</t>
  </si>
  <si>
    <t xml:space="preserve">CT</t>
  </si>
  <si>
    <t xml:space="preserve">EN, ES, PL</t>
  </si>
  <si>
    <t xml:space="preserve">Utah</t>
  </si>
  <si>
    <t xml:space="preserve">UT</t>
  </si>
  <si>
    <t xml:space="preserve">DLD</t>
  </si>
  <si>
    <t xml:space="preserve">DLD. Tongan/Samoan communities.</t>
  </si>
  <si>
    <t xml:space="preserve">Iowa</t>
  </si>
  <si>
    <t xml:space="preserve">IA</t>
  </si>
  <si>
    <t xml:space="preserve">DOT</t>
  </si>
  <si>
    <t xml:space="preserve">Nevada</t>
  </si>
  <si>
    <t xml:space="preserve">NV</t>
  </si>
  <si>
    <t xml:space="preserve">EN, ES, ZH, TL</t>
  </si>
  <si>
    <t xml:space="preserve">Las Vegas Filipino community.</t>
  </si>
  <si>
    <t xml:space="preserve">Arkansas</t>
  </si>
  <si>
    <t xml:space="preserve">AR</t>
  </si>
  <si>
    <t xml:space="preserve">DFA</t>
  </si>
  <si>
    <t xml:space="preserve">Mississippi</t>
  </si>
  <si>
    <t xml:space="preserve">MS</t>
  </si>
  <si>
    <t xml:space="preserve">Kansas</t>
  </si>
  <si>
    <t xml:space="preserve">KS</t>
  </si>
  <si>
    <t xml:space="preserve">New Mexico</t>
  </si>
  <si>
    <t xml:space="preserve">NM</t>
  </si>
  <si>
    <t xml:space="preserve">Heavy Spanish market.</t>
  </si>
  <si>
    <t xml:space="preserve">Nebraska</t>
  </si>
  <si>
    <t xml:space="preserve">NE</t>
  </si>
  <si>
    <t xml:space="preserve">Idaho</t>
  </si>
  <si>
    <t xml:space="preserve">ID</t>
  </si>
  <si>
    <t xml:space="preserve">ITD</t>
  </si>
  <si>
    <t xml:space="preserve">ITD = Idaho Transportation Dept.</t>
  </si>
  <si>
    <t xml:space="preserve">West Virginia</t>
  </si>
  <si>
    <t xml:space="preserve">WV</t>
  </si>
  <si>
    <t xml:space="preserve">EN</t>
  </si>
  <si>
    <t xml:space="preserve">Hawaii</t>
  </si>
  <si>
    <t xml:space="preserve">HI</t>
  </si>
  <si>
    <t xml:space="preserve">EN, ES, JA, ZH, KO, TL, IL</t>
  </si>
  <si>
    <t xml:space="preserve">Filipino + Japanese huge. Per-capita iPhone strong.</t>
  </si>
  <si>
    <t xml:space="preserve">New Hampshire</t>
  </si>
  <si>
    <t xml:space="preserve">NH</t>
  </si>
  <si>
    <t xml:space="preserve">EN, ES, FR</t>
  </si>
  <si>
    <t xml:space="preserve">Maine</t>
  </si>
  <si>
    <t xml:space="preserve">ME</t>
  </si>
  <si>
    <t xml:space="preserve">EN, ES, FR, SO</t>
  </si>
  <si>
    <t xml:space="preserve">Somali in Lewiston/Portland.</t>
  </si>
  <si>
    <t xml:space="preserve">Montana</t>
  </si>
  <si>
    <t xml:space="preserve">MT</t>
  </si>
  <si>
    <t xml:space="preserve">Rhode Island</t>
  </si>
  <si>
    <t xml:space="preserve">RI</t>
  </si>
  <si>
    <t xml:space="preserve">EN, ES, PT</t>
  </si>
  <si>
    <t xml:space="preserve">Portuguese community.</t>
  </si>
  <si>
    <t xml:space="preserve">Delaware</t>
  </si>
  <si>
    <t xml:space="preserve">DE</t>
  </si>
  <si>
    <t xml:space="preserve">South Dakota</t>
  </si>
  <si>
    <t xml:space="preserve">SD</t>
  </si>
  <si>
    <t xml:space="preserve">North Dakota</t>
  </si>
  <si>
    <t xml:space="preserve">ND</t>
  </si>
  <si>
    <t xml:space="preserve">Alaska</t>
  </si>
  <si>
    <t xml:space="preserve">AK</t>
  </si>
  <si>
    <t xml:space="preserve">Vermont</t>
  </si>
  <si>
    <t xml:space="preserve">VT</t>
  </si>
  <si>
    <t xml:space="preserve">Wyoming</t>
  </si>
  <si>
    <t xml:space="preserve">WY</t>
  </si>
  <si>
    <t xml:space="preserve">Washington DC</t>
  </si>
  <si>
    <t xml:space="preserve">DC</t>
  </si>
  <si>
    <t xml:space="preserve">EN, ES, AM, ZH, FR, KO, VI</t>
  </si>
  <si>
    <t xml:space="preserve">Amharic significant (Ethiopian community).</t>
  </si>
  <si>
    <t xml:space="preserve">TOTAL Y1 TARGET</t>
  </si>
  <si>
    <t xml:space="preserve">Tier 1 — First 4 Months: FL → TX → CA → NY</t>
  </si>
  <si>
    <t xml:space="preserve">Florida ships first as the master template. Each subsequent state takes ~1 week of content work after engine is proven.</t>
  </si>
  <si>
    <t xml:space="preserve">Week</t>
  </si>
  <si>
    <t xml:space="preserve">Phase</t>
  </si>
  <si>
    <t xml:space="preserve">Build Tasks</t>
  </si>
  <si>
    <t xml:space="preserve">Content Tasks</t>
  </si>
  <si>
    <t xml:space="preserve">Marketing Tasks</t>
  </si>
  <si>
    <t xml:space="preserve">Output / Decision Gate</t>
  </si>
  <si>
    <t xml:space="preserve">Foundation</t>
  </si>
  <si>
    <t xml:space="preserve">iOS shell, onboarding, test engine architecture, local SQLite schema, StoreKit 2 setup</t>
  </si>
  <si>
    <t xml:space="preserve">Pull FLHSMV handbook (public domain). Outline 12 question categories: signs, ROW, parking, alcohol/DUI, fines, license types, etc.</t>
  </si>
  <si>
    <t xml:space="preserve">Reserve Florida-specific App Store name and bundle ID. Domain name registered.</t>
  </si>
  <si>
    <t xml:space="preserve">Clickable prototype with 50 questions. Engine architecture frozen.</t>
  </si>
  <si>
    <t xml:space="preserve">Question Engine</t>
  </si>
  <si>
    <t xml:space="preserve">Practice mode, timed mock-test mode, weak-area tracker, wrong-answer review with explanations</t>
  </si>
  <si>
    <t xml:space="preserve">Write 250–400 questions with explanations + handbook references. Tag by category. Spanish translation pass for STUDY mode (not test mode — FL is English-only test).</t>
  </si>
  <si>
    <t xml:space="preserve">Set up TikTok Florida driver content account. Plan 5 viral hooks.</t>
  </si>
  <si>
    <t xml:space="preserve">Functional MVP with full Florida question bank.</t>
  </si>
  <si>
    <t xml:space="preserve">Polish + Pkg</t>
  </si>
  <si>
    <t xml:space="preserve">Progress dashboard, audio narration (AVSpeechSynthesizer), bookmarks, parent/teen mode toggle, App Store screenshots, accessibility (Dynamic Type, VoiceOver)</t>
  </si>
  <si>
    <t xml:space="preserve">Accuracy review pass with actual Florida test takers (your network in FL). Final question polish.</t>
  </si>
  <si>
    <t xml:space="preserve">Landing page live. Pre-launch waitlist email capture.</t>
  </si>
  <si>
    <t xml:space="preserve">App Store-ready submission build.</t>
  </si>
  <si>
    <t xml:space="preserve">Launch + Validate</t>
  </si>
  <si>
    <t xml:space="preserve">TestFlight beta with 50 users, App Store submission, iterate from review feedback</t>
  </si>
  <si>
    <t xml:space="preserve">Add any questions reviewers say got missed.</t>
  </si>
  <si>
    <t xml:space="preserve">$300 Apple Search Ads test on "Florida permit test" keywords. 5 TikTok videos posted. Email waitlist.</t>
  </si>
  <si>
    <t xml:space="preserve">GATE: Did &gt;5% of installs convert to purchase? If YES → expand. If NO → diagnose before TX.</t>
  </si>
  <si>
    <t xml:space="preserve">Re-skin + Content</t>
  </si>
  <si>
    <t xml:space="preserve">Localize to Texas terminology (DPS not DMV, vision/hearing test specifics). Add bilingual full Spanish test mode.</t>
  </si>
  <si>
    <t xml:space="preserve">Pull TX Driver Handbook. Write 300+ TX-specific questions in 2 sections (signs / traffic laws) — match real exam format.</t>
  </si>
  <si>
    <t xml:space="preserve">TikTok Texas account. Hispanic-targeted Spanish-language Instagram content.</t>
  </si>
  <si>
    <t xml:space="preserve">Texas v1 in TestFlight.</t>
  </si>
  <si>
    <t xml:space="preserve">Launch</t>
  </si>
  <si>
    <t xml:space="preserve">Submit to App Store. Set up bilingual UI toggle.</t>
  </si>
  <si>
    <t xml:space="preserve">TX Spanish translation accuracy pass with native speaker.</t>
  </si>
  <si>
    <t xml:space="preserve">$500 Apple Search Ads with English + Spanish keyword sets. 10 TikTok videos.</t>
  </si>
  <si>
    <t xml:space="preserve">Texas live in App Store.</t>
  </si>
  <si>
    <t xml:space="preserve">Re-skin Foundation</t>
  </si>
  <si>
    <t xml:space="preserve">Add multi-language framework: ZH, VI, KO, RU, AR (top 5 after EN/ES per CA DMV data).</t>
  </si>
  <si>
    <t xml:space="preserve">Pull CA DMV handbook. Write 400+ questions covering CA-specific (left-turn lane rules, freeway etiquette, DUI specifics).</t>
  </si>
  <si>
    <t xml:space="preserve">Identify CA driving school partnerships in LA, SF, Sacramento (target 3-5 pilots).</t>
  </si>
  <si>
    <t xml:space="preserve">CA v1 base + 7 languages.</t>
  </si>
  <si>
    <t xml:space="preserve">Bigger Languages</t>
  </si>
  <si>
    <t xml:space="preserve">Add Tagalog (TL) for Filipino market, Japanese (JA) for Bay Area.</t>
  </si>
  <si>
    <t xml:space="preserve">Translation QA. Verify CA-specific traffic terms.</t>
  </si>
  <si>
    <t xml:space="preserve">Driving school outreach: free school-license tier.</t>
  </si>
  <si>
    <t xml:space="preserve">CA v1 with 9 languages ready.</t>
  </si>
  <si>
    <t xml:space="preserve">Polish</t>
  </si>
  <si>
    <t xml:space="preserve">Audio narration in all supported languages (premium feature).</t>
  </si>
  <si>
    <t xml:space="preserve">Final accuracy pass. Add Persian and Armenian if budget allows (LA market).</t>
  </si>
  <si>
    <t xml:space="preserve">Spanish-language TikTok creator outreach.</t>
  </si>
  <si>
    <t xml:space="preserve">CA Store-ready.</t>
  </si>
  <si>
    <t xml:space="preserve">App Store submission. Apple Search Ads bilingual.</t>
  </si>
  <si>
    <t xml:space="preserve">Monitor download mix by language to inform Tier 2 priorities.</t>
  </si>
  <si>
    <t xml:space="preserve">$1,000 ad budget. Driving school deployment.</t>
  </si>
  <si>
    <t xml:space="preserve">CA live. Decide on next 6 states based on language uptake data.</t>
  </si>
  <si>
    <t xml:space="preserve">Re-skin</t>
  </si>
  <si>
    <t xml:space="preserve">NY has only 20 questions / 70% — recalibrate test format. Add ZH + RU (NYC populations).</t>
  </si>
  <si>
    <t xml:space="preserve">NY-specific content: NYC-specific rules, expressway etiquette, parking nightmares, snow rules.</t>
  </si>
  <si>
    <t xml:space="preserve">NYC immigrant community outreach. Brooklyn / Queens DMV school partnerships.</t>
  </si>
  <si>
    <t xml:space="preserve">NY v1 build.</t>
  </si>
  <si>
    <t xml:space="preserve">NY App Store submission.</t>
  </si>
  <si>
    <t xml:space="preserve">Translation QA.</t>
  </si>
  <si>
    <t xml:space="preserve">$500 ad budget.</t>
  </si>
  <si>
    <t xml:space="preserve">NY live. End of Tier 1 — 4 states, ~33% of US population covered.</t>
  </si>
  <si>
    <t xml:space="preserve">What "Perfect" Means — Feature Architecture</t>
  </si>
  <si>
    <t xml:space="preserve">Three categories: Core (must-have v1), Premium (nice-to-have v1), Future (v2+).</t>
  </si>
  <si>
    <t xml:space="preserve">Feature</t>
  </si>
  <si>
    <t xml:space="preserve">Why It Matters</t>
  </si>
  <si>
    <t xml:space="preserve">Build Effort</t>
  </si>
  <si>
    <t xml:space="preserve">Differentiator vs DMV Genie?</t>
  </si>
  <si>
    <t xml:space="preserve">V1 / V2</t>
  </si>
  <si>
    <t xml:space="preserve">CORE</t>
  </si>
  <si>
    <t xml:space="preserve">Practice mode (unlimited Qs)</t>
  </si>
  <si>
    <t xml:space="preserve">Foundational. Without this, no app.</t>
  </si>
  <si>
    <t xml:space="preserve">LOW</t>
  </si>
  <si>
    <t xml:space="preserve">V1</t>
  </si>
  <si>
    <t xml:space="preserve">Mock test mode (matches state format)</t>
  </si>
  <si>
    <t xml:space="preserve">Simulates real exam exactly: question count, time limit, sections.</t>
  </si>
  <si>
    <t xml:space="preserve">Most apps fake this</t>
  </si>
  <si>
    <t xml:space="preserve">Wrong-answer review with handbook ref</t>
  </si>
  <si>
    <t xml:space="preserve">Each wrong answer links to handbook section. Teaching, not just testing.</t>
  </si>
  <si>
    <t xml:space="preserve">YES — most apps skip</t>
  </si>
  <si>
    <t xml:space="preserve">Category breakdown (signs, ROW, etc.)</t>
  </si>
  <si>
    <t xml:space="preserve">Drive practice toward weak areas, not random.</t>
  </si>
  <si>
    <t xml:space="preserve">YES</t>
  </si>
  <si>
    <t xml:space="preserve">Audio narration (text-to-speech)</t>
  </si>
  <si>
    <t xml:space="preserve">Critical for ESL learners, dyslexia, commute studying.</t>
  </si>
  <si>
    <t xml:space="preserve">YES — major</t>
  </si>
  <si>
    <t xml:space="preserve">Offline-first (zero network needed)</t>
  </si>
  <si>
    <t xml:space="preserve">Privacy + works in DMV waiting room. Free apps need network for ads.</t>
  </si>
  <si>
    <t xml:space="preserve">YES — wedge</t>
  </si>
  <si>
    <t xml:space="preserve">No accounts, no cloud, no tracking</t>
  </si>
  <si>
    <t xml:space="preserve">Privacy positioning is THE differentiator. Free apps track everything.</t>
  </si>
  <si>
    <t xml:space="preserve">YES — core moat</t>
  </si>
  <si>
    <t xml:space="preserve">State-accurate terminology + fines</t>
  </si>
  <si>
    <t xml:space="preserve">Real agency name (DPS not DMV in TX). Real fine amounts. Free apps say "consult your state".</t>
  </si>
  <si>
    <t xml:space="preserve">MED</t>
  </si>
  <si>
    <t xml:space="preserve">Bilingual (EN + state primary lang)</t>
  </si>
  <si>
    <t xml:space="preserve">CA needs ES at minimum. FL needs ES STUDY mode (test is EN-only). TX bilingual full.</t>
  </si>
  <si>
    <t xml:space="preserve">Test-day checklist + what to bring</t>
  </si>
  <si>
    <t xml:space="preserve">Last-mile: what documents, what to expect, what NOT to wear.</t>
  </si>
  <si>
    <t xml:space="preserve">Some have this</t>
  </si>
  <si>
    <t xml:space="preserve">PREMIUM</t>
  </si>
  <si>
    <t xml:space="preserve">Spaced repetition algorithm (SM-2)</t>
  </si>
  <si>
    <t xml:space="preserve">Re-tests weak areas with intelligent timing. Zutobi has this — must match.</t>
  </si>
  <si>
    <t xml:space="preserve">Match competitors</t>
  </si>
  <si>
    <t xml:space="preserve">Daily streak + gamification</t>
  </si>
  <si>
    <t xml:space="preserve">Habit formation. Re-engagement.</t>
  </si>
  <si>
    <t xml:space="preserve">Parent/teen mode (parent monitors)</t>
  </si>
  <si>
    <t xml:space="preserve">Parents are the buyers; teens are the users. Visibility = repeat purchases for sibs.</t>
  </si>
  <si>
    <t xml:space="preserve">YES — most lack</t>
  </si>
  <si>
    <t xml:space="preserve">Printable cheat sheet (PDF export)</t>
  </si>
  <si>
    <t xml:space="preserve">Last-night-before-test review. Tactile reassurance.</t>
  </si>
  <si>
    <t xml:space="preserve">Some have</t>
  </si>
  <si>
    <t xml:space="preserve">Multi-language UI (CA: 9+ langs)</t>
  </si>
  <si>
    <t xml:space="preserve">CA real test is in 24 languages. Match top 9 to capture immigrant market.</t>
  </si>
  <si>
    <t xml:space="preserve">HIGH</t>
  </si>
  <si>
    <t xml:space="preserve">YES — moat at scale</t>
  </si>
  <si>
    <t xml:space="preserve">Disability accommodations</t>
  </si>
  <si>
    <t xml:space="preserve">Dyslexia-friendly font (OpenDyslexic), large-text mode, full VoiceOver support.</t>
  </si>
  <si>
    <t xml:space="preserve">YES — almost none</t>
  </si>
  <si>
    <t xml:space="preserve">Apple Watch glance widget</t>
  </si>
  <si>
    <t xml:space="preserve">Question-of-the-day on watch. Daily reminder.</t>
  </si>
  <si>
    <t xml:space="preserve">YES — none have</t>
  </si>
  <si>
    <t xml:space="preserve">V2</t>
  </si>
  <si>
    <t xml:space="preserve">FUTURE</t>
  </si>
  <si>
    <t xml:space="preserve">CDL test prep (Class A, B, C)</t>
  </si>
  <si>
    <t xml:space="preserve">Adjacent product. Truckers pay more. Specialized SKU per state.</t>
  </si>
  <si>
    <t xml:space="preserve">New category</t>
  </si>
  <si>
    <t xml:space="preserve">Motorcycle endorsement</t>
  </si>
  <si>
    <t xml:space="preserve">Adjacent product. Riders are passionate buyers.</t>
  </si>
  <si>
    <t xml:space="preserve">Behind-the-wheel road test prep</t>
  </si>
  <si>
    <t xml:space="preserve">Video content + checklist for actual road test.</t>
  </si>
  <si>
    <t xml:space="preserve">Differentiated</t>
  </si>
  <si>
    <t xml:space="preserve">AI tutor chat (LLM-powered)</t>
  </si>
  <si>
    <t xml:space="preserve">Ask questions in natural language; get handbook-grounded answers.</t>
  </si>
  <si>
    <t xml:space="preserve">Driving school B2B portal</t>
  </si>
  <si>
    <t xml:space="preserve">Schools license bulk seats. Recurring revenue.</t>
  </si>
  <si>
    <t xml:space="preserve">Pricing — One-Time Purchase Model</t>
  </si>
  <si>
    <t xml:space="preserve">Buy-once, no subscription. Bundles to capture multi-state buyers and families.</t>
  </si>
  <si>
    <t xml:space="preserve">Product SKU</t>
  </si>
  <si>
    <t xml:space="preserve">Description</t>
  </si>
  <si>
    <t xml:space="preserve">Price</t>
  </si>
  <si>
    <t xml:space="preserve">Apple Cut (30%/15%)</t>
  </si>
  <si>
    <t xml:space="preserve">Net per Sale</t>
  </si>
  <si>
    <t xml:space="preserve">Per-state app (Tier 1)</t>
  </si>
  <si>
    <t xml:space="preserve">FL, TX, CA, NY — full bilingual + premium</t>
  </si>
  <si>
    <t xml:space="preserve">Tier 1 = highest content investment</t>
  </si>
  <si>
    <t xml:space="preserve">Per-state app (Tier 2)</t>
  </si>
  <si>
    <t xml:space="preserve">PA, IL, OH, GA, NC, MI, NJ, VA, WA, AZ, MA + 5</t>
  </si>
  <si>
    <t xml:space="preserve">Standard tier</t>
  </si>
  <si>
    <t xml:space="preserve">Per-state app (Tier 3)</t>
  </si>
  <si>
    <t xml:space="preserve">All remaining 35 states</t>
  </si>
  <si>
    <t xml:space="preserve">Smaller markets, simpler content</t>
  </si>
  <si>
    <t xml:space="preserve">"Family Pack" (4 users)</t>
  </si>
  <si>
    <t xml:space="preserve">One purchase covers up to 4 family members</t>
  </si>
  <si>
    <t xml:space="preserve">For households with multiple teens</t>
  </si>
  <si>
    <t xml:space="preserve">Multi-state bundle (any 3)</t>
  </si>
  <si>
    <t xml:space="preserve">Pick any 3 states (snowbirds, recent movers)</t>
  </si>
  <si>
    <t xml:space="preserve">Florida-NY-CA bundle is biggest</t>
  </si>
  <si>
    <t xml:space="preserve">"Lifetime Pro" upgrade (per state)</t>
  </si>
  <si>
    <t xml:space="preserve">Unlocks AI tutor, audio in all langs, motorcycle module</t>
  </si>
  <si>
    <t xml:space="preserve">$2.99 IAP</t>
  </si>
  <si>
    <t xml:space="preserve">Optional add-on after purchase</t>
  </si>
  <si>
    <t xml:space="preserve">CDL Class A/B/C add-on</t>
  </si>
  <si>
    <t xml:space="preserve">Commercial license prep (V2)</t>
  </si>
  <si>
    <t xml:space="preserve">$9.99 IAP</t>
  </si>
  <si>
    <t xml:space="preserve">Truckers willing to pay more</t>
  </si>
  <si>
    <t xml:space="preserve">Driving school license (B2B)</t>
  </si>
  <si>
    <t xml:space="preserve">School-wide seat license, 50 students/yr</t>
  </si>
  <si>
    <t xml:space="preserve">$299/yr per school</t>
  </si>
  <si>
    <t xml:space="preserve">V2 — recurring revenue</t>
  </si>
  <si>
    <t xml:space="preserve">Spanish-only edition (FL)</t>
  </si>
  <si>
    <t xml:space="preserve">Special FL-only product: pure Spanish study mode for English test</t>
  </si>
  <si>
    <t xml:space="preserve">Targeted at recent immigrants who need to learn material in Spanish to pass English test</t>
  </si>
  <si>
    <t xml:space="preserve">Marketing — Distribution Playbook by Channel</t>
  </si>
  <si>
    <t xml:space="preserve">TikTok &gt; Apple Search Ads &gt; Driving Schools &gt; High Schools &gt; Word of Mouth</t>
  </si>
  <si>
    <t xml:space="preserve">Channel</t>
  </si>
  <si>
    <t xml:space="preserve">Why It Works</t>
  </si>
  <si>
    <t xml:space="preserve">Tactics</t>
  </si>
  <si>
    <t xml:space="preserve">Budget</t>
  </si>
  <si>
    <t xml:space="preserve">Expected CPI</t>
  </si>
  <si>
    <t xml:space="preserve">Best States</t>
  </si>
  <si>
    <t xml:space="preserve">TikTok organic content</t>
  </si>
  <si>
    <t xml:space="preserve">Teen drivers + parent of teens are on TikTok. Pre-test anxiety = relatable content.</t>
  </si>
  <si>
    <t xml:space="preserve">"Questions that trip everyone up" • Fail-compilation reactions • Sign-recognition challenges • Spanish-language teen creator series for TX/CA/FL</t>
  </si>
  <si>
    <t xml:space="preserve">$0 (creator time)</t>
  </si>
  <si>
    <t xml:space="preserve">$0</t>
  </si>
  <si>
    <t xml:space="preserve">Every state</t>
  </si>
  <si>
    <t xml:space="preserve">Apple Search Ads</t>
  </si>
  <si>
    <t xml:space="preserve">Direct intent: someone searches "Florida permit test" → high conversion</t>
  </si>
  <si>
    <t xml:space="preserve">Per-state keyword sets: "[State] permit test", "[State] DMV practice", "[State] driver test prep" • Bilingual: "examen permiso [estado]" for ES states</t>
  </si>
  <si>
    <t xml:space="preserve">$300–1,000 / state launch</t>
  </si>
  <si>
    <t xml:space="preserve">$0.50–1.50</t>
  </si>
  <si>
    <t xml:space="preserve">Tier 1 + 2</t>
  </si>
  <si>
    <t xml:space="preserve">TikTok paid ads</t>
  </si>
  <si>
    <t xml:space="preserve">Reach scale beyond organic. Targeting 16-yr-olds + parents.</t>
  </si>
  <si>
    <t xml:space="preserve">Boost top-performing organic. UGC-style only. Avoid polished commercial vibe.</t>
  </si>
  <si>
    <t xml:space="preserve">$500–2,000 / state</t>
  </si>
  <si>
    <t xml:space="preserve">$1.50–3.00</t>
  </si>
  <si>
    <t xml:space="preserve">Tier 1 + Hispanic-heavy states</t>
  </si>
  <si>
    <t xml:space="preserve">Driving school partnerships</t>
  </si>
  <si>
    <t xml:space="preserve">Schools recommend the app. Trust transfer + bulk sales.</t>
  </si>
  <si>
    <t xml:space="preserve">Free 100-student licenses to first 5 schools per state. School logo in app. Refer-a-school bonus.</t>
  </si>
  <si>
    <t xml:space="preserve">Free trial inventory</t>
  </si>
  <si>
    <t xml:space="preserve">High school driver-ed teachers</t>
  </si>
  <si>
    <t xml:space="preserve">Teachers recommend = parents buy. Best free distribution.</t>
  </si>
  <si>
    <t xml:space="preserve">Free teacher accounts. Printable lesson plans. State-specific curriculum slides.</t>
  </si>
  <si>
    <t xml:space="preserve">All states with HS driver ed (most)</t>
  </si>
  <si>
    <t xml:space="preserve">Reddit r/[state] communities</t>
  </si>
  <si>
    <t xml:space="preserve">Hyperlocal authentic discussion. Cheap if executed honestly.</t>
  </si>
  <si>
    <t xml:space="preserve">NOT spam. Genuine help in pre-test threads + organic mention of app. Founder-named account.</t>
  </si>
  <si>
    <t xml:space="preserve">All states</t>
  </si>
  <si>
    <t xml:space="preserve">App Store Optimization (ASO)</t>
  </si>
  <si>
    <t xml:space="preserve">Free organic discovery via search rankings.</t>
  </si>
  <si>
    <t xml:space="preserve">Per-state app titles: "[State] Permit Test 2026 — DMV Practice". Real reviews. Localized screenshots.</t>
  </si>
  <si>
    <t xml:space="preserve">DMV office QR codes</t>
  </si>
  <si>
    <t xml:space="preserve">Tactical: hand out flyers near DMV offices in target cities.</t>
  </si>
  <si>
    <t xml:space="preserve">Print 1,000 QR-code flyers. Volunteer to hand out at major DMV waiting rooms.</t>
  </si>
  <si>
    <t xml:space="preserve">$50 / state</t>
  </si>
  <si>
    <t xml:space="preserve">~$1</t>
  </si>
  <si>
    <t xml:space="preserve">Tier 1 only</t>
  </si>
  <si>
    <t xml:space="preserve">Spanish-language radio (TX/CA/FL)</t>
  </si>
  <si>
    <t xml:space="preserve">Hispanic immigrant first-time-driver market is huge and underserved digitally.</t>
  </si>
  <si>
    <t xml:space="preserve">Drive-time radio sponsorships in Houston, Dallas, LA, Miami. $5/spot reach.</t>
  </si>
  <si>
    <t xml:space="preserve">$1,000–3,000 / state</t>
  </si>
  <si>
    <t xml:space="preserve">$2–4</t>
  </si>
  <si>
    <t xml:space="preserve">TX, CA, FL</t>
  </si>
  <si>
    <t xml:space="preserve">Influencer driving instructors</t>
  </si>
  <si>
    <t xml:space="preserve">YouTubers like "Smart Drive Test" have 1M+ subs. Endorsement = trust.</t>
  </si>
  <si>
    <t xml:space="preserve">Affiliate code + free pro license. 30% commission per sale.</t>
  </si>
  <si>
    <t xml:space="preserve">Revenue share</t>
  </si>
  <si>
    <t xml:space="preserve">$0 upfront</t>
  </si>
  <si>
    <t xml:space="preserve">Year 1 Revenue Projection (Conservative)</t>
  </si>
  <si>
    <t xml:space="preserve">Assumes ~5% paid conversion on installs. Apple takes 30% (or 15% if Small Biz Program qualified).</t>
  </si>
  <si>
    <t xml:space="preserve">ASSUMPTIONS (blue = inputs)</t>
  </si>
  <si>
    <t xml:space="preserve">Avg paid conversion %</t>
  </si>
  <si>
    <t xml:space="preserve">Apple cut % (30% standard)</t>
  </si>
  <si>
    <t xml:space="preserve">Refund rate</t>
  </si>
  <si>
    <t xml:space="preserve">PER-STATE PROJECTION</t>
  </si>
  <si>
    <t xml:space="preserve">Est. Installs Y1</t>
  </si>
  <si>
    <t xml:space="preserve">Paid (formula)</t>
  </si>
  <si>
    <t xml:space="preserve">Gross Rev</t>
  </si>
  <si>
    <t xml:space="preserve">Net Rev</t>
  </si>
  <si>
    <t xml:space="preserve">TOTAL</t>
  </si>
  <si>
    <t xml:space="preserve">SCENARIOS</t>
  </si>
  <si>
    <t xml:space="preserve">Scenario</t>
  </si>
  <si>
    <t xml:space="preserve">Conv %</t>
  </si>
  <si>
    <t xml:space="preserve">Year 1 Net Rev</t>
  </si>
  <si>
    <t xml:space="preserve">Pessimistic</t>
  </si>
  <si>
    <t xml:space="preserve">Conservative (default)</t>
  </si>
  <si>
    <t xml:space="preserve">Optimistic</t>
  </si>
  <si>
    <t xml:space="preserve">Risk Register — Things That Could Kill This</t>
  </si>
  <si>
    <t xml:space="preserve">Risk</t>
  </si>
  <si>
    <t xml:space="preserve">Likelihood</t>
  </si>
  <si>
    <t xml:space="preserve">Impact</t>
  </si>
  <si>
    <t xml:space="preserve">Mitigation</t>
  </si>
  <si>
    <t xml:space="preserve">Trigger / Sign of Trouble</t>
  </si>
  <si>
    <t xml:space="preserve">1</t>
  </si>
  <si>
    <t xml:space="preserve">Apple rejects "DMV" or "permit test" naming as misleading</t>
  </si>
  <si>
    <t xml:space="preserve">Medium</t>
  </si>
  <si>
    <t xml:space="preserve">High</t>
  </si>
  <si>
    <t xml:space="preserve">Use precise language: "[State] Driver License Practice Test" not "Official DMV Test." Don't claim official endorsement. Read App Store Review Guidelines 5.4 carefully.</t>
  </si>
  <si>
    <t xml:space="preserve">First state submission rejection.</t>
  </si>
  <si>
    <t xml:space="preserve">2</t>
  </si>
  <si>
    <t xml:space="preserve">DMV Genie / iDriverManual launch a paid premium tier with no ads</t>
  </si>
  <si>
    <t xml:space="preserve">Move fast. Differentiate on multi-language, privacy-first positioning, one-time-purchase. Lock in driving school partnerships.</t>
  </si>
  <si>
    <t xml:space="preserve">Competitor adds paid tier in App Store.</t>
  </si>
  <si>
    <t xml:space="preserve">3</t>
  </si>
  <si>
    <t xml:space="preserve">State updates handbook mid-year and questions become outdated</t>
  </si>
  <si>
    <t xml:space="preserve">Subscribe to state DMV news feeds. Quarterly content review cycle. Push update within 30 days of handbook revision.</t>
  </si>
  <si>
    <t xml:space="preserve">User reviews mention "outdated questions."</t>
  </si>
  <si>
    <t xml:space="preserve">4</t>
  </si>
  <si>
    <t xml:space="preserve">Spanish/foreign-language translation accuracy issues damage reputation</t>
  </si>
  <si>
    <t xml:space="preserve">Use native-speaker translators NOT machine translation. Have 5+ users review per language before launch. Flag user-reported errors as P0 fixes.</t>
  </si>
  <si>
    <t xml:space="preserve">1-star reviews mentioning translation errors.</t>
  </si>
  <si>
    <t xml:space="preserve">5</t>
  </si>
  <si>
    <t xml:space="preserve">Driving-Tests.org or competitor sues over question similarity</t>
  </si>
  <si>
    <t xml:space="preserve">Low</t>
  </si>
  <si>
    <t xml:space="preserve">Critical</t>
  </si>
  <si>
    <t xml:space="preserve">Write all questions IN-HOUSE from public domain handbook. Document source for each question. Don't scrape ANY competitor.</t>
  </si>
  <si>
    <t xml:space="preserve">Cease-and-desist letter.</t>
  </si>
  <si>
    <t xml:space="preserve">6</t>
  </si>
  <si>
    <t xml:space="preserve">Apple Search Ads CPI spikes due to competitor bidding</t>
  </si>
  <si>
    <t xml:space="preserve">Diversify channels: TikTok, school partnerships, ASO, organic. Don't depend on Search Ads alone.</t>
  </si>
  <si>
    <t xml:space="preserve">CPI &gt; $3.00 sustained.</t>
  </si>
  <si>
    <t xml:space="preserve">7</t>
  </si>
  <si>
    <t xml:space="preserve">iOS App Store paid-app market continues declining vs. F2P/IAP</t>
  </si>
  <si>
    <t xml:space="preserve">Add IAP "Pro" upgrade as a secondary monetization (pricing sheet). Test free-with-IAP variant for one state.</t>
  </si>
  <si>
    <t xml:space="preserve">Conversion rates drop quarter-over-quarter.</t>
  </si>
  <si>
    <t xml:space="preserve">8</t>
  </si>
  <si>
    <t xml:space="preserve">Florida bilingual study app fails because target users don't use App Store</t>
  </si>
  <si>
    <t xml:space="preserve">Validate with 50 Hispanic FL users via WhatsApp before building. Possibility: target Android instead.</t>
  </si>
  <si>
    <t xml:space="preserve">Pre-launch waitlist conversion &lt; 1%.</t>
  </si>
  <si>
    <t xml:space="preserve">9</t>
  </si>
  <si>
    <t xml:space="preserve">You spread too thin — ship 4 states badly instead of 1 state perfectly</t>
  </si>
  <si>
    <t xml:space="preserve">Florida MUST hit Gate criteria (&gt;5% paid conversion, 4.5+ stars) before TX work begins. Discipline.</t>
  </si>
  <si>
    <t xml:space="preserve">Florida sub-3% conversion or sub-4-star reviews.</t>
  </si>
  <si>
    <t xml:space="preserve">A state changes test format unexpectedly (FL English-only mandate)</t>
  </si>
  <si>
    <t xml:space="preserve">Build content as data, not code. Format changes = data update, not engineering work.</t>
  </si>
  <si>
    <t xml:space="preserve">State DMV announces test format change.</t>
  </si>
  <si>
    <t xml:space="preserve">Pre-Launch Validation Checklist (per state)</t>
  </si>
  <si>
    <t xml:space="preserve">Run this before submitting any state to App Store. Don't skip.</t>
  </si>
  <si>
    <t xml:space="preserve">Check</t>
  </si>
  <si>
    <t xml:space="preserve">Pass/Fail</t>
  </si>
  <si>
    <t xml:space="preserve">Content</t>
  </si>
  <si>
    <t xml:space="preserve">Question count matches state real exam (e.g. FL=50, TX=30, NY=20)</t>
  </si>
  <si>
    <t xml:space="preserve">Pass score matches state (FL=80%, TX=70%, NY=70%)</t>
  </si>
  <si>
    <t xml:space="preserve">Real state agency name used throughout (DMV / DPS / DDS / MVA / RMV)</t>
  </si>
  <si>
    <t xml:space="preserve">All questions written from public-domain state handbook only</t>
  </si>
  <si>
    <t xml:space="preserve">Question accuracy reviewed by 3+ recent test-takers in target state</t>
  </si>
  <si>
    <t xml:space="preserve">Translation reviewed by native speakers (not Google Translate)</t>
  </si>
  <si>
    <t xml:space="preserve">State-specific fines and laws cited correctly with handbook page reference</t>
  </si>
  <si>
    <t xml:space="preserve">Legal</t>
  </si>
  <si>
    <t xml:space="preserve">No claim of "official DMV" or state endorsement in marketing copy</t>
  </si>
  <si>
    <t xml:space="preserve">Privacy policy posted at hosted URL (no tracking, no ads, no cloud)</t>
  </si>
  <si>
    <t xml:space="preserve">No question copied from competitor (Driving-Tests.org, DMV Genie, Zutobi)</t>
  </si>
  <si>
    <t xml:space="preserve">Tech</t>
  </si>
  <si>
    <t xml:space="preserve">App works fully offline (test in airplane mode)</t>
  </si>
  <si>
    <t xml:space="preserve">Audio narration (TTS) works for all questions</t>
  </si>
  <si>
    <t xml:space="preserve">VoiceOver / accessibility labels on every interactive element</t>
  </si>
  <si>
    <t xml:space="preserve">Dynamic Type (text size scaling) supported</t>
  </si>
  <si>
    <t xml:space="preserve">No analytics SDKs / no third-party tracking</t>
  </si>
  <si>
    <t xml:space="preserve">Tested on iPhone SE (smallest screen) and iPad</t>
  </si>
  <si>
    <t xml:space="preserve">Marketing</t>
  </si>
  <si>
    <t xml:space="preserve">App Store screenshots: 6.7"/6.5"/5.5" sizes + iPad</t>
  </si>
  <si>
    <t xml:space="preserve">App Store description: clear differentiator (no ads, no subscription, no tracking)</t>
  </si>
  <si>
    <t xml:space="preserve">Landing page live with screenshots and FAQ</t>
  </si>
  <si>
    <t xml:space="preserve">TikTok account live with 5+ videos before launch</t>
  </si>
  <si>
    <t xml:space="preserve">Apple Search Ads campaign drafted with negative keywords</t>
  </si>
  <si>
    <t xml:space="preserve">Distribution</t>
  </si>
  <si>
    <t xml:space="preserve">3+ driving schools agreed to pilot</t>
  </si>
  <si>
    <t xml:space="preserve">High-school driver-ed teacher contact list built</t>
  </si>
  <si>
    <t xml:space="preserve">Reddit r/[state] community moderators contacted</t>
  </si>
  <si>
    <t xml:space="preserve">Quality</t>
  </si>
  <si>
    <t xml:space="preserve">TestFlight beta with 50+ users completed</t>
  </si>
  <si>
    <t xml:space="preserve">Average user rating in beta = 4.5+ stars</t>
  </si>
  <si>
    <t xml:space="preserve">&lt;3 critical bugs reported in last week of beta</t>
  </si>
  <si>
    <t xml:space="preserve">Business</t>
  </si>
  <si>
    <t xml:space="preserve">StoreKit 2 IAP tested in sandbox</t>
  </si>
  <si>
    <t xml:space="preserve">Refund-handling logic tested</t>
  </si>
  <si>
    <t xml:space="preserve">Pricing tier finalized vs. competitor analysis</t>
  </si>
  <si>
    <t xml:space="preserve">12-Month Roadmap</t>
  </si>
  <si>
    <t xml:space="preserve">Calendar view of state launches, milestones, decision gates.</t>
  </si>
  <si>
    <t xml:space="preserve">Month</t>
  </si>
  <si>
    <t xml:space="preserve">States Live</t>
  </si>
  <si>
    <t xml:space="preserve">Engineering Focus</t>
  </si>
  <si>
    <t xml:space="preserve">Content Focus</t>
  </si>
  <si>
    <t xml:space="preserve">Marketing Focus</t>
  </si>
  <si>
    <t xml:space="preserve">Decision Gate</t>
  </si>
  <si>
    <t xml:space="preserve">M1</t>
  </si>
  <si>
    <t xml:space="preserve">Tier 1</t>
  </si>
  <si>
    <t xml:space="preserve">Engine + FL content</t>
  </si>
  <si>
    <t xml:space="preserve">FL question bank (400 Qs)</t>
  </si>
  <si>
    <t xml:space="preserve">FL TikTok seed, ASA test</t>
  </si>
  <si>
    <t xml:space="preserve">FL hits &gt;5% paid conv?</t>
  </si>
  <si>
    <t xml:space="preserve">M2</t>
  </si>
  <si>
    <t xml:space="preserve">FL+TX</t>
  </si>
  <si>
    <t xml:space="preserve">TX bilingual port</t>
  </si>
  <si>
    <t xml:space="preserve">TX question bank + Spanish QA</t>
  </si>
  <si>
    <t xml:space="preserve">TX TikTok bilingual</t>
  </si>
  <si>
    <t xml:space="preserve">TX same metrics as FL?</t>
  </si>
  <si>
    <t xml:space="preserve">M3</t>
  </si>
  <si>
    <t xml:space="preserve">+CA</t>
  </si>
  <si>
    <t xml:space="preserve">Multi-language framework</t>
  </si>
  <si>
    <t xml:space="preserve">CA 9-language content</t>
  </si>
  <si>
    <t xml:space="preserve">CA driving school partnerships</t>
  </si>
  <si>
    <t xml:space="preserve">CA install volume?</t>
  </si>
  <si>
    <t xml:space="preserve">M4</t>
  </si>
  <si>
    <t xml:space="preserve">+NY</t>
  </si>
  <si>
    <t xml:space="preserve">NY format port (20 Qs)</t>
  </si>
  <si>
    <t xml:space="preserve">NY content + 13-language QA</t>
  </si>
  <si>
    <t xml:space="preserve">NYC immigrant outreach</t>
  </si>
  <si>
    <t xml:space="preserve">Tier 1 cumulative &gt;$50K?</t>
  </si>
  <si>
    <t xml:space="preserve">M5</t>
  </si>
  <si>
    <t xml:space="preserve">Tier 2</t>
  </si>
  <si>
    <t xml:space="preserve">+PA, IL</t>
  </si>
  <si>
    <t xml:space="preserve">2 states / month</t>
  </si>
  <si>
    <t xml:space="preserve">PA + IL content</t>
  </si>
  <si>
    <t xml:space="preserve">Polish + Spanish targeting</t>
  </si>
  <si>
    <t xml:space="preserve">M6</t>
  </si>
  <si>
    <t xml:space="preserve">+OH, GA</t>
  </si>
  <si>
    <t xml:space="preserve">OH + GA content</t>
  </si>
  <si>
    <t xml:space="preserve">Atlanta Korean/Vietnamese</t>
  </si>
  <si>
    <t xml:space="preserve">Tier 2 unit economics</t>
  </si>
  <si>
    <t xml:space="preserve">M7</t>
  </si>
  <si>
    <t xml:space="preserve">+NC, MI</t>
  </si>
  <si>
    <t xml:space="preserve">2 states</t>
  </si>
  <si>
    <t xml:space="preserve">NC + MI (Arabic for MI)</t>
  </si>
  <si>
    <t xml:space="preserve">Dearborn Arabic-language</t>
  </si>
  <si>
    <t xml:space="preserve">M8</t>
  </si>
  <si>
    <t xml:space="preserve">+NJ, VA</t>
  </si>
  <si>
    <t xml:space="preserve">NJ multilingual + VA</t>
  </si>
  <si>
    <t xml:space="preserve">NoVA tech immigrant</t>
  </si>
  <si>
    <t xml:space="preserve">M9</t>
  </si>
  <si>
    <t xml:space="preserve">+WA, AZ</t>
  </si>
  <si>
    <t xml:space="preserve">WA + AZ</t>
  </si>
  <si>
    <t xml:space="preserve">Seattle Russian/Ukrainian</t>
  </si>
  <si>
    <t xml:space="preserve">M10</t>
  </si>
  <si>
    <t xml:space="preserve">+MA, TN</t>
  </si>
  <si>
    <t xml:space="preserve">MA (35+ langs) + TN</t>
  </si>
  <si>
    <t xml:space="preserve">Boston multi-lingual push</t>
  </si>
  <si>
    <t xml:space="preserve">Decide V2 features</t>
  </si>
  <si>
    <t xml:space="preserve">M11</t>
  </si>
  <si>
    <t xml:space="preserve">V2 + T3</t>
  </si>
  <si>
    <t xml:space="preserve">+IN, MO + V2 dev</t>
  </si>
  <si>
    <t xml:space="preserve">CDL module dev starts</t>
  </si>
  <si>
    <t xml:space="preserve">IN + MO content</t>
  </si>
  <si>
    <t xml:space="preserve">M12</t>
  </si>
  <si>
    <t xml:space="preserve">+MD, WI + V2 launch</t>
  </si>
  <si>
    <t xml:space="preserve">CDL Class A v1</t>
  </si>
  <si>
    <t xml:space="preserve">MD + WI content</t>
  </si>
  <si>
    <t xml:space="preserve">Reflect &amp; strategize Y2</t>
  </si>
  <si>
    <t xml:space="preserve">V2 launch decision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</si>
</sst>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%"/>
    <numFmt numFmtId="167" formatCode="#,##0"/>
    <numFmt numFmtId="168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1"/>
      <color rgb="FF60606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0"/>
      <color rgb="FF606060"/>
      <name val="Arial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0B4"/>
        <bgColor rgb="FFBFBFBF"/>
      </patternFill>
    </fill>
    <fill>
      <patternFill patternType="solid">
        <fgColor rgb="FFFFE699"/>
        <bgColor rgb="FFF8CBAD"/>
      </patternFill>
    </fill>
    <fill>
      <patternFill patternType="solid">
        <fgColor rgb="FFDEEBF7"/>
        <bgColor rgb="FFF2F2F2"/>
      </patternFill>
    </fill>
    <fill>
      <patternFill patternType="solid">
        <fgColor rgb="FFF2F2F2"/>
        <bgColor rgb="FFDEEBF7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5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3</v>
      </c>
    </row>
    <row r="6" customFormat="false" ht="30" hidden="false" customHeight="true" outlineLevel="0" collapsed="false">
      <c r="A6" s="5" t="s">
        <v>4</v>
      </c>
      <c r="B6" s="5"/>
      <c r="C6" s="5"/>
      <c r="D6" s="5"/>
      <c r="E6" s="5"/>
      <c r="F6" s="5"/>
      <c r="G6" s="5"/>
      <c r="H6" s="5"/>
    </row>
    <row r="7" customFormat="false" ht="30" hidden="false" customHeight="true" outlineLevel="0" collapsed="false">
      <c r="A7" s="5" t="s">
        <v>5</v>
      </c>
      <c r="B7" s="5"/>
      <c r="C7" s="5"/>
      <c r="D7" s="5"/>
      <c r="E7" s="5"/>
      <c r="F7" s="5"/>
      <c r="G7" s="5"/>
      <c r="H7" s="5"/>
    </row>
    <row r="8" customFormat="false" ht="30" hidden="false" customHeight="true" outlineLevel="0" collapsed="false">
      <c r="A8" s="5" t="s">
        <v>6</v>
      </c>
      <c r="B8" s="5"/>
      <c r="C8" s="5"/>
      <c r="D8" s="5"/>
      <c r="E8" s="5"/>
      <c r="F8" s="5"/>
      <c r="G8" s="5"/>
      <c r="H8" s="5"/>
    </row>
    <row r="9" customFormat="false" ht="30" hidden="false" customHeight="true" outlineLevel="0" collapsed="false">
      <c r="A9" s="5" t="s">
        <v>7</v>
      </c>
      <c r="B9" s="5"/>
      <c r="C9" s="5"/>
      <c r="D9" s="5"/>
      <c r="E9" s="5"/>
      <c r="F9" s="5"/>
      <c r="G9" s="5"/>
      <c r="H9" s="5"/>
    </row>
    <row r="10" customFormat="false" ht="30" hidden="false" customHeight="true" outlineLevel="0" collapsed="false">
      <c r="A10" s="5" t="s">
        <v>8</v>
      </c>
      <c r="B10" s="5"/>
      <c r="C10" s="5"/>
      <c r="D10" s="5"/>
      <c r="E10" s="5"/>
      <c r="F10" s="5"/>
      <c r="G10" s="5"/>
      <c r="H10" s="5"/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6" t="s">
        <v>10</v>
      </c>
      <c r="B13" s="6" t="s">
        <v>11</v>
      </c>
      <c r="C13" s="6" t="s">
        <v>12</v>
      </c>
      <c r="D13" s="6" t="s">
        <v>13</v>
      </c>
    </row>
    <row r="14" customFormat="false" ht="23.85" hidden="false" customHeight="false" outlineLevel="0" collapsed="false">
      <c r="A14" s="7" t="s">
        <v>14</v>
      </c>
      <c r="B14" s="8" t="s">
        <v>15</v>
      </c>
      <c r="C14" s="8" t="s">
        <v>16</v>
      </c>
      <c r="D14" s="8" t="s">
        <v>17</v>
      </c>
    </row>
    <row r="15" customFormat="false" ht="35.05" hidden="false" customHeight="false" outlineLevel="0" collapsed="false">
      <c r="A15" s="7" t="s">
        <v>18</v>
      </c>
      <c r="B15" s="8" t="s">
        <v>19</v>
      </c>
      <c r="C15" s="8" t="s">
        <v>20</v>
      </c>
      <c r="D15" s="8" t="s">
        <v>21</v>
      </c>
    </row>
    <row r="16" customFormat="false" ht="23.85" hidden="false" customHeight="false" outlineLevel="0" collapsed="false">
      <c r="A16" s="7" t="s">
        <v>22</v>
      </c>
      <c r="B16" s="8" t="s">
        <v>23</v>
      </c>
      <c r="C16" s="8" t="s">
        <v>24</v>
      </c>
      <c r="D16" s="8" t="s">
        <v>25</v>
      </c>
    </row>
    <row r="17" customFormat="false" ht="23.85" hidden="false" customHeight="false" outlineLevel="0" collapsed="false">
      <c r="A17" s="7" t="s">
        <v>26</v>
      </c>
      <c r="B17" s="8" t="s">
        <v>27</v>
      </c>
      <c r="C17" s="8" t="s">
        <v>28</v>
      </c>
      <c r="D17" s="8" t="s">
        <v>29</v>
      </c>
    </row>
    <row r="18" customFormat="false" ht="23.85" hidden="false" customHeight="false" outlineLevel="0" collapsed="false">
      <c r="A18" s="7" t="s">
        <v>30</v>
      </c>
      <c r="B18" s="8" t="s">
        <v>31</v>
      </c>
      <c r="C18" s="8" t="s">
        <v>32</v>
      </c>
      <c r="D18" s="8" t="s">
        <v>33</v>
      </c>
    </row>
    <row r="19" customFormat="false" ht="23.85" hidden="false" customHeight="false" outlineLevel="0" collapsed="false">
      <c r="A19" s="7" t="s">
        <v>34</v>
      </c>
      <c r="B19" s="8" t="s">
        <v>35</v>
      </c>
      <c r="C19" s="8" t="s">
        <v>36</v>
      </c>
      <c r="D19" s="8" t="s">
        <v>37</v>
      </c>
    </row>
  </sheetData>
  <mergeCells count="8">
    <mergeCell ref="A1:H1"/>
    <mergeCell ref="A2:H2"/>
    <mergeCell ref="A3:H3"/>
    <mergeCell ref="A6:H6"/>
    <mergeCell ref="A7:H7"/>
    <mergeCell ref="A8:H8"/>
    <mergeCell ref="A9:H9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5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5"/>
    <col collapsed="false" customWidth="true" hidden="false" outlineLevel="0" max="8" min="7" style="0" width="7"/>
    <col collapsed="false" customWidth="true" hidden="false" outlineLevel="0" max="9" min="9" style="0" width="35"/>
    <col collapsed="false" customWidth="true" hidden="false" outlineLevel="0" max="10" min="10" style="0" width="8"/>
    <col collapsed="false" customWidth="true" hidden="false" outlineLevel="0" max="11" min="11" style="0" width="5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4" min="14" style="0" width="50"/>
  </cols>
  <sheetData>
    <row r="1" customFormat="false" ht="30" hidden="false" customHeight="true" outlineLevel="0" collapsed="false">
      <c r="A1" s="6" t="s">
        <v>38</v>
      </c>
      <c r="B1" s="6" t="s">
        <v>39</v>
      </c>
      <c r="C1" s="6" t="s">
        <v>40</v>
      </c>
      <c r="D1" s="6" t="s">
        <v>41</v>
      </c>
      <c r="E1" s="6" t="s">
        <v>42</v>
      </c>
      <c r="F1" s="6" t="s">
        <v>43</v>
      </c>
      <c r="G1" s="6" t="s">
        <v>44</v>
      </c>
      <c r="H1" s="6" t="s">
        <v>45</v>
      </c>
      <c r="I1" s="6" t="s">
        <v>46</v>
      </c>
      <c r="J1" s="6" t="s">
        <v>47</v>
      </c>
      <c r="K1" s="6" t="s">
        <v>48</v>
      </c>
      <c r="L1" s="6" t="s">
        <v>49</v>
      </c>
      <c r="M1" s="6" t="s">
        <v>50</v>
      </c>
      <c r="N1" s="6" t="s">
        <v>51</v>
      </c>
    </row>
    <row r="2" customFormat="false" ht="30" hidden="false" customHeight="true" outlineLevel="0" collapsed="false">
      <c r="A2" s="9" t="n">
        <v>1</v>
      </c>
      <c r="B2" s="8" t="s">
        <v>52</v>
      </c>
      <c r="C2" s="8" t="s">
        <v>53</v>
      </c>
      <c r="D2" s="9" t="n">
        <v>22.9</v>
      </c>
      <c r="E2" s="8" t="s">
        <v>54</v>
      </c>
      <c r="F2" s="9" t="n">
        <v>50</v>
      </c>
      <c r="G2" s="9" t="s">
        <v>55</v>
      </c>
      <c r="H2" s="9" t="s">
        <v>56</v>
      </c>
      <c r="I2" s="8" t="s">
        <v>57</v>
      </c>
      <c r="J2" s="9" t="s">
        <v>58</v>
      </c>
      <c r="K2" s="10" t="s">
        <v>59</v>
      </c>
      <c r="L2" s="9" t="n">
        <v>1</v>
      </c>
      <c r="M2" s="9" t="n">
        <v>160</v>
      </c>
      <c r="N2" s="8" t="s">
        <v>60</v>
      </c>
    </row>
    <row r="3" customFormat="false" ht="30" hidden="false" customHeight="true" outlineLevel="0" collapsed="false">
      <c r="A3" s="9" t="n">
        <v>2</v>
      </c>
      <c r="B3" s="8" t="s">
        <v>61</v>
      </c>
      <c r="C3" s="8" t="s">
        <v>62</v>
      </c>
      <c r="D3" s="9" t="n">
        <v>30.5</v>
      </c>
      <c r="E3" s="8" t="s">
        <v>63</v>
      </c>
      <c r="F3" s="9" t="n">
        <v>30</v>
      </c>
      <c r="G3" s="9" t="s">
        <v>64</v>
      </c>
      <c r="H3" s="9" t="n">
        <v>60</v>
      </c>
      <c r="I3" s="8" t="s">
        <v>65</v>
      </c>
      <c r="J3" s="9" t="s">
        <v>58</v>
      </c>
      <c r="K3" s="10" t="s">
        <v>59</v>
      </c>
      <c r="L3" s="9" t="n">
        <v>2</v>
      </c>
      <c r="M3" s="9" t="n">
        <v>180</v>
      </c>
      <c r="N3" s="8" t="s">
        <v>66</v>
      </c>
    </row>
    <row r="4" customFormat="false" ht="30" hidden="false" customHeight="true" outlineLevel="0" collapsed="false">
      <c r="A4" s="9" t="n">
        <v>3</v>
      </c>
      <c r="B4" s="8" t="s">
        <v>67</v>
      </c>
      <c r="C4" s="8" t="s">
        <v>68</v>
      </c>
      <c r="D4" s="9" t="n">
        <v>19.5</v>
      </c>
      <c r="E4" s="8" t="s">
        <v>69</v>
      </c>
      <c r="F4" s="9" t="n">
        <v>20</v>
      </c>
      <c r="G4" s="9" t="s">
        <v>64</v>
      </c>
      <c r="H4" s="9" t="n">
        <v>30</v>
      </c>
      <c r="I4" s="8" t="s">
        <v>70</v>
      </c>
      <c r="J4" s="9" t="s">
        <v>58</v>
      </c>
      <c r="K4" s="10" t="s">
        <v>59</v>
      </c>
      <c r="L4" s="9" t="n">
        <v>3</v>
      </c>
      <c r="M4" s="9" t="n">
        <v>130</v>
      </c>
      <c r="N4" s="8" t="s">
        <v>71</v>
      </c>
    </row>
    <row r="5" customFormat="false" ht="30" hidden="false" customHeight="true" outlineLevel="0" collapsed="false">
      <c r="A5" s="9" t="n">
        <v>4</v>
      </c>
      <c r="B5" s="8" t="s">
        <v>72</v>
      </c>
      <c r="C5" s="8" t="s">
        <v>73</v>
      </c>
      <c r="D5" s="9" t="n">
        <v>39</v>
      </c>
      <c r="E5" s="8" t="s">
        <v>69</v>
      </c>
      <c r="F5" s="9" t="n">
        <v>36</v>
      </c>
      <c r="G5" s="9" t="s">
        <v>74</v>
      </c>
      <c r="H5" s="9" t="s">
        <v>56</v>
      </c>
      <c r="I5" s="8" t="s">
        <v>75</v>
      </c>
      <c r="J5" s="9" t="s">
        <v>58</v>
      </c>
      <c r="K5" s="10" t="s">
        <v>59</v>
      </c>
      <c r="L5" s="9" t="n">
        <v>4</v>
      </c>
      <c r="M5" s="9" t="n">
        <v>220</v>
      </c>
      <c r="N5" s="8" t="s">
        <v>76</v>
      </c>
    </row>
    <row r="6" customFormat="false" ht="30" hidden="false" customHeight="true" outlineLevel="0" collapsed="false">
      <c r="A6" s="9" t="n">
        <v>5</v>
      </c>
      <c r="B6" s="8" t="s">
        <v>77</v>
      </c>
      <c r="C6" s="8" t="s">
        <v>78</v>
      </c>
      <c r="D6" s="9" t="n">
        <v>13</v>
      </c>
      <c r="E6" s="8" t="s">
        <v>79</v>
      </c>
      <c r="F6" s="9" t="n">
        <v>18</v>
      </c>
      <c r="G6" s="9" t="s">
        <v>74</v>
      </c>
      <c r="H6" s="9" t="n">
        <v>60</v>
      </c>
      <c r="I6" s="8" t="s">
        <v>80</v>
      </c>
      <c r="J6" s="9" t="s">
        <v>81</v>
      </c>
      <c r="K6" s="11" t="s">
        <v>82</v>
      </c>
      <c r="L6" s="9" t="n">
        <v>5</v>
      </c>
      <c r="M6" s="9" t="n">
        <v>75</v>
      </c>
      <c r="N6" s="8" t="s">
        <v>83</v>
      </c>
    </row>
    <row r="7" customFormat="false" ht="30" hidden="false" customHeight="true" outlineLevel="0" collapsed="false">
      <c r="A7" s="9" t="n">
        <v>6</v>
      </c>
      <c r="B7" s="8" t="s">
        <v>84</v>
      </c>
      <c r="C7" s="8" t="s">
        <v>85</v>
      </c>
      <c r="D7" s="9" t="n">
        <v>12.6</v>
      </c>
      <c r="E7" s="8" t="s">
        <v>86</v>
      </c>
      <c r="F7" s="9" t="n">
        <v>35</v>
      </c>
      <c r="G7" s="9" t="s">
        <v>55</v>
      </c>
      <c r="H7" s="9" t="s">
        <v>56</v>
      </c>
      <c r="I7" s="8" t="s">
        <v>87</v>
      </c>
      <c r="J7" s="9" t="s">
        <v>81</v>
      </c>
      <c r="K7" s="11" t="s">
        <v>82</v>
      </c>
      <c r="L7" s="9" t="n">
        <v>6</v>
      </c>
      <c r="M7" s="9" t="n">
        <v>85</v>
      </c>
      <c r="N7" s="8" t="s">
        <v>88</v>
      </c>
    </row>
    <row r="8" customFormat="false" ht="30" hidden="false" customHeight="true" outlineLevel="0" collapsed="false">
      <c r="A8" s="9" t="n">
        <v>7</v>
      </c>
      <c r="B8" s="8" t="s">
        <v>89</v>
      </c>
      <c r="C8" s="8" t="s">
        <v>90</v>
      </c>
      <c r="D8" s="9" t="n">
        <v>11.8</v>
      </c>
      <c r="E8" s="8" t="s">
        <v>91</v>
      </c>
      <c r="F8" s="9" t="n">
        <v>40</v>
      </c>
      <c r="G8" s="9" t="s">
        <v>92</v>
      </c>
      <c r="H8" s="9" t="s">
        <v>56</v>
      </c>
      <c r="I8" s="8" t="s">
        <v>93</v>
      </c>
      <c r="J8" s="9" t="s">
        <v>81</v>
      </c>
      <c r="K8" s="11" t="s">
        <v>82</v>
      </c>
      <c r="L8" s="9" t="n">
        <v>7</v>
      </c>
      <c r="M8" s="9" t="n">
        <v>60</v>
      </c>
      <c r="N8" s="8" t="s">
        <v>94</v>
      </c>
    </row>
    <row r="9" customFormat="false" ht="30" hidden="false" customHeight="true" outlineLevel="0" collapsed="false">
      <c r="A9" s="9" t="n">
        <v>8</v>
      </c>
      <c r="B9" s="8" t="s">
        <v>95</v>
      </c>
      <c r="C9" s="8" t="s">
        <v>96</v>
      </c>
      <c r="D9" s="9" t="n">
        <v>11.1</v>
      </c>
      <c r="E9" s="8" t="s">
        <v>97</v>
      </c>
      <c r="F9" s="9" t="n">
        <v>40</v>
      </c>
      <c r="G9" s="9" t="s">
        <v>92</v>
      </c>
      <c r="H9" s="9" t="s">
        <v>56</v>
      </c>
      <c r="I9" s="8" t="s">
        <v>98</v>
      </c>
      <c r="J9" s="9" t="s">
        <v>81</v>
      </c>
      <c r="K9" s="11" t="s">
        <v>82</v>
      </c>
      <c r="L9" s="9" t="n">
        <v>8</v>
      </c>
      <c r="M9" s="9" t="n">
        <v>70</v>
      </c>
      <c r="N9" s="8" t="s">
        <v>99</v>
      </c>
    </row>
    <row r="10" customFormat="false" ht="30" hidden="false" customHeight="true" outlineLevel="0" collapsed="false">
      <c r="A10" s="9" t="n">
        <v>9</v>
      </c>
      <c r="B10" s="8" t="s">
        <v>100</v>
      </c>
      <c r="C10" s="8" t="s">
        <v>101</v>
      </c>
      <c r="D10" s="9" t="n">
        <v>10.8</v>
      </c>
      <c r="E10" s="8" t="s">
        <v>69</v>
      </c>
      <c r="F10" s="9" t="n">
        <v>25</v>
      </c>
      <c r="G10" s="9" t="s">
        <v>55</v>
      </c>
      <c r="H10" s="9" t="s">
        <v>56</v>
      </c>
      <c r="I10" s="8" t="s">
        <v>102</v>
      </c>
      <c r="J10" s="9" t="s">
        <v>81</v>
      </c>
      <c r="K10" s="11" t="s">
        <v>82</v>
      </c>
      <c r="L10" s="9" t="n">
        <v>9</v>
      </c>
      <c r="M10" s="9" t="n">
        <v>55</v>
      </c>
      <c r="N10" s="8" t="s">
        <v>103</v>
      </c>
    </row>
    <row r="11" customFormat="false" ht="30" hidden="false" customHeight="true" outlineLevel="0" collapsed="false">
      <c r="A11" s="9" t="n">
        <v>10</v>
      </c>
      <c r="B11" s="8" t="s">
        <v>104</v>
      </c>
      <c r="C11" s="8" t="s">
        <v>105</v>
      </c>
      <c r="D11" s="9" t="n">
        <v>10</v>
      </c>
      <c r="E11" s="8" t="s">
        <v>106</v>
      </c>
      <c r="F11" s="9" t="n">
        <v>50</v>
      </c>
      <c r="G11" s="9" t="s">
        <v>55</v>
      </c>
      <c r="H11" s="9" t="s">
        <v>56</v>
      </c>
      <c r="I11" s="8" t="s">
        <v>107</v>
      </c>
      <c r="J11" s="9" t="s">
        <v>81</v>
      </c>
      <c r="K11" s="11" t="s">
        <v>82</v>
      </c>
      <c r="L11" s="9" t="n">
        <v>10</v>
      </c>
      <c r="M11" s="9" t="n">
        <v>50</v>
      </c>
      <c r="N11" s="8" t="s">
        <v>108</v>
      </c>
    </row>
    <row r="12" customFormat="false" ht="30" hidden="false" customHeight="true" outlineLevel="0" collapsed="false">
      <c r="A12" s="9" t="n">
        <v>11</v>
      </c>
      <c r="B12" s="8" t="s">
        <v>109</v>
      </c>
      <c r="C12" s="8" t="s">
        <v>110</v>
      </c>
      <c r="D12" s="9" t="n">
        <v>9.3</v>
      </c>
      <c r="E12" s="8" t="s">
        <v>111</v>
      </c>
      <c r="F12" s="9" t="n">
        <v>50</v>
      </c>
      <c r="G12" s="9" t="s">
        <v>55</v>
      </c>
      <c r="H12" s="9" t="n">
        <v>30</v>
      </c>
      <c r="I12" s="8" t="s">
        <v>112</v>
      </c>
      <c r="J12" s="9" t="s">
        <v>81</v>
      </c>
      <c r="K12" s="11" t="s">
        <v>82</v>
      </c>
      <c r="L12" s="9" t="n">
        <v>11</v>
      </c>
      <c r="M12" s="9" t="n">
        <v>60</v>
      </c>
      <c r="N12" s="8" t="s">
        <v>113</v>
      </c>
    </row>
    <row r="13" customFormat="false" ht="30" hidden="false" customHeight="true" outlineLevel="0" collapsed="false">
      <c r="A13" s="9" t="n">
        <v>12</v>
      </c>
      <c r="B13" s="8" t="s">
        <v>114</v>
      </c>
      <c r="C13" s="8" t="s">
        <v>115</v>
      </c>
      <c r="D13" s="9" t="n">
        <v>8.7</v>
      </c>
      <c r="E13" s="8" t="s">
        <v>69</v>
      </c>
      <c r="F13" s="9" t="n">
        <v>35</v>
      </c>
      <c r="G13" s="9" t="s">
        <v>55</v>
      </c>
      <c r="H13" s="9" t="s">
        <v>56</v>
      </c>
      <c r="I13" s="8" t="s">
        <v>116</v>
      </c>
      <c r="J13" s="9" t="s">
        <v>81</v>
      </c>
      <c r="K13" s="11" t="s">
        <v>82</v>
      </c>
      <c r="L13" s="9" t="n">
        <v>12</v>
      </c>
      <c r="M13" s="9" t="n">
        <v>45</v>
      </c>
      <c r="N13" s="8" t="s">
        <v>117</v>
      </c>
    </row>
    <row r="14" customFormat="false" ht="30" hidden="false" customHeight="true" outlineLevel="0" collapsed="false">
      <c r="A14" s="9" t="n">
        <v>13</v>
      </c>
      <c r="B14" s="8" t="s">
        <v>118</v>
      </c>
      <c r="C14" s="8" t="s">
        <v>119</v>
      </c>
      <c r="D14" s="9" t="n">
        <v>7.8</v>
      </c>
      <c r="E14" s="8" t="s">
        <v>120</v>
      </c>
      <c r="F14" s="9" t="n">
        <v>25</v>
      </c>
      <c r="G14" s="9" t="s">
        <v>55</v>
      </c>
      <c r="H14" s="9" t="s">
        <v>56</v>
      </c>
      <c r="I14" s="8" t="s">
        <v>121</v>
      </c>
      <c r="J14" s="9" t="s">
        <v>81</v>
      </c>
      <c r="K14" s="11" t="s">
        <v>82</v>
      </c>
      <c r="L14" s="9" t="n">
        <v>13</v>
      </c>
      <c r="M14" s="9" t="n">
        <v>40</v>
      </c>
      <c r="N14" s="8" t="s">
        <v>122</v>
      </c>
    </row>
    <row r="15" customFormat="false" ht="30" hidden="false" customHeight="true" outlineLevel="0" collapsed="false">
      <c r="A15" s="9" t="n">
        <v>14</v>
      </c>
      <c r="B15" s="8" t="s">
        <v>123</v>
      </c>
      <c r="C15" s="8" t="s">
        <v>124</v>
      </c>
      <c r="D15" s="9" t="n">
        <v>7.4</v>
      </c>
      <c r="E15" s="8" t="s">
        <v>125</v>
      </c>
      <c r="F15" s="9" t="n">
        <v>30</v>
      </c>
      <c r="G15" s="9" t="s">
        <v>55</v>
      </c>
      <c r="H15" s="9" t="s">
        <v>56</v>
      </c>
      <c r="I15" s="8" t="s">
        <v>65</v>
      </c>
      <c r="J15" s="9" t="s">
        <v>81</v>
      </c>
      <c r="K15" s="11" t="s">
        <v>82</v>
      </c>
      <c r="L15" s="9" t="n">
        <v>14</v>
      </c>
      <c r="M15" s="9" t="n">
        <v>40</v>
      </c>
      <c r="N15" s="8" t="s">
        <v>126</v>
      </c>
    </row>
    <row r="16" customFormat="false" ht="30" hidden="false" customHeight="true" outlineLevel="0" collapsed="false">
      <c r="A16" s="9" t="n">
        <v>15</v>
      </c>
      <c r="B16" s="8" t="s">
        <v>127</v>
      </c>
      <c r="C16" s="8" t="s">
        <v>128</v>
      </c>
      <c r="D16" s="9" t="n">
        <v>7.1</v>
      </c>
      <c r="E16" s="8" t="s">
        <v>129</v>
      </c>
      <c r="F16" s="9" t="n">
        <v>25</v>
      </c>
      <c r="G16" s="9" t="s">
        <v>130</v>
      </c>
      <c r="H16" s="9" t="n">
        <v>25</v>
      </c>
      <c r="I16" s="8" t="s">
        <v>131</v>
      </c>
      <c r="J16" s="9" t="s">
        <v>81</v>
      </c>
      <c r="K16" s="11" t="s">
        <v>82</v>
      </c>
      <c r="L16" s="9" t="n">
        <v>15</v>
      </c>
      <c r="M16" s="9" t="n">
        <v>35</v>
      </c>
      <c r="N16" s="8" t="s">
        <v>132</v>
      </c>
    </row>
    <row r="17" customFormat="false" ht="30" hidden="false" customHeight="true" outlineLevel="0" collapsed="false">
      <c r="A17" s="9" t="n">
        <v>16</v>
      </c>
      <c r="B17" s="8" t="s">
        <v>133</v>
      </c>
      <c r="C17" s="8" t="s">
        <v>134</v>
      </c>
      <c r="D17" s="9" t="n">
        <v>7.1</v>
      </c>
      <c r="E17" s="8" t="s">
        <v>135</v>
      </c>
      <c r="F17" s="9" t="n">
        <v>30</v>
      </c>
      <c r="G17" s="9" t="s">
        <v>64</v>
      </c>
      <c r="H17" s="9" t="s">
        <v>56</v>
      </c>
      <c r="I17" s="8" t="s">
        <v>65</v>
      </c>
      <c r="J17" s="9" t="s">
        <v>81</v>
      </c>
      <c r="K17" s="11" t="s">
        <v>82</v>
      </c>
      <c r="L17" s="9" t="n">
        <v>16</v>
      </c>
      <c r="M17" s="9" t="n">
        <v>30</v>
      </c>
      <c r="N17" s="8" t="s">
        <v>136</v>
      </c>
    </row>
    <row r="18" customFormat="false" ht="30" hidden="false" customHeight="true" outlineLevel="0" collapsed="false">
      <c r="A18" s="9" t="n">
        <v>17</v>
      </c>
      <c r="B18" s="8" t="s">
        <v>137</v>
      </c>
      <c r="C18" s="8" t="s">
        <v>138</v>
      </c>
      <c r="D18" s="9" t="n">
        <v>6.9</v>
      </c>
      <c r="E18" s="8" t="s">
        <v>91</v>
      </c>
      <c r="F18" s="9" t="n">
        <v>50</v>
      </c>
      <c r="G18" s="9" t="s">
        <v>139</v>
      </c>
      <c r="H18" s="9" t="s">
        <v>56</v>
      </c>
      <c r="I18" s="8" t="s">
        <v>140</v>
      </c>
      <c r="J18" s="9" t="s">
        <v>81</v>
      </c>
      <c r="K18" s="11" t="s">
        <v>82</v>
      </c>
      <c r="L18" s="9" t="n">
        <v>17</v>
      </c>
      <c r="M18" s="9" t="n">
        <v>30</v>
      </c>
      <c r="N18" s="8" t="s">
        <v>141</v>
      </c>
    </row>
    <row r="19" customFormat="false" ht="30" hidden="false" customHeight="true" outlineLevel="0" collapsed="false">
      <c r="A19" s="9" t="n">
        <v>18</v>
      </c>
      <c r="B19" s="8" t="s">
        <v>142</v>
      </c>
      <c r="C19" s="8" t="s">
        <v>143</v>
      </c>
      <c r="D19" s="9" t="n">
        <v>6.2</v>
      </c>
      <c r="E19" s="8" t="s">
        <v>144</v>
      </c>
      <c r="F19" s="9" t="n">
        <v>25</v>
      </c>
      <c r="G19" s="9" t="s">
        <v>55</v>
      </c>
      <c r="H19" s="9" t="s">
        <v>56</v>
      </c>
      <c r="I19" s="8" t="s">
        <v>65</v>
      </c>
      <c r="J19" s="9" t="s">
        <v>81</v>
      </c>
      <c r="K19" s="11" t="s">
        <v>82</v>
      </c>
      <c r="L19" s="9" t="n">
        <v>18</v>
      </c>
      <c r="M19" s="9" t="n">
        <v>25</v>
      </c>
      <c r="N19" s="8" t="s">
        <v>145</v>
      </c>
    </row>
    <row r="20" customFormat="false" ht="30" hidden="false" customHeight="true" outlineLevel="0" collapsed="false">
      <c r="A20" s="9" t="n">
        <v>19</v>
      </c>
      <c r="B20" s="8" t="s">
        <v>146</v>
      </c>
      <c r="C20" s="8" t="s">
        <v>147</v>
      </c>
      <c r="D20" s="9" t="n">
        <v>6.2</v>
      </c>
      <c r="E20" s="8" t="s">
        <v>148</v>
      </c>
      <c r="F20" s="9" t="n">
        <v>25</v>
      </c>
      <c r="G20" s="9" t="s">
        <v>149</v>
      </c>
      <c r="H20" s="9" t="n">
        <v>30</v>
      </c>
      <c r="I20" s="8" t="s">
        <v>150</v>
      </c>
      <c r="J20" s="9" t="s">
        <v>81</v>
      </c>
      <c r="K20" s="11" t="s">
        <v>82</v>
      </c>
      <c r="L20" s="9" t="n">
        <v>19</v>
      </c>
      <c r="M20" s="9" t="n">
        <v>30</v>
      </c>
      <c r="N20" s="8" t="s">
        <v>151</v>
      </c>
    </row>
    <row r="21" customFormat="false" ht="30" hidden="false" customHeight="true" outlineLevel="0" collapsed="false">
      <c r="A21" s="9" t="n">
        <v>20</v>
      </c>
      <c r="B21" s="8" t="s">
        <v>152</v>
      </c>
      <c r="C21" s="8" t="s">
        <v>153</v>
      </c>
      <c r="D21" s="9" t="n">
        <v>5.9</v>
      </c>
      <c r="E21" s="8" t="s">
        <v>69</v>
      </c>
      <c r="F21" s="9" t="n">
        <v>50</v>
      </c>
      <c r="G21" s="9" t="s">
        <v>55</v>
      </c>
      <c r="H21" s="9" t="s">
        <v>56</v>
      </c>
      <c r="I21" s="8" t="s">
        <v>154</v>
      </c>
      <c r="J21" s="9" t="s">
        <v>81</v>
      </c>
      <c r="K21" s="11" t="s">
        <v>82</v>
      </c>
      <c r="L21" s="9" t="n">
        <v>20</v>
      </c>
      <c r="M21" s="9" t="n">
        <v>25</v>
      </c>
      <c r="N21" s="8" t="s">
        <v>155</v>
      </c>
    </row>
    <row r="22" customFormat="false" ht="30" hidden="false" customHeight="true" outlineLevel="0" collapsed="false">
      <c r="A22" s="9" t="n">
        <v>21</v>
      </c>
      <c r="B22" s="8" t="s">
        <v>156</v>
      </c>
      <c r="C22" s="8" t="s">
        <v>157</v>
      </c>
      <c r="D22" s="9" t="n">
        <v>5.9</v>
      </c>
      <c r="E22" s="8" t="s">
        <v>69</v>
      </c>
      <c r="F22" s="9" t="n">
        <v>25</v>
      </c>
      <c r="G22" s="9" t="s">
        <v>55</v>
      </c>
      <c r="H22" s="9" t="n">
        <v>30</v>
      </c>
      <c r="I22" s="8" t="s">
        <v>65</v>
      </c>
      <c r="J22" s="9" t="s">
        <v>81</v>
      </c>
      <c r="K22" s="12" t="s">
        <v>158</v>
      </c>
      <c r="L22" s="9" t="n">
        <v>21</v>
      </c>
      <c r="M22" s="9" t="n">
        <v>25</v>
      </c>
      <c r="N22" s="8" t="s">
        <v>159</v>
      </c>
    </row>
    <row r="23" customFormat="false" ht="30" hidden="false" customHeight="true" outlineLevel="0" collapsed="false">
      <c r="A23" s="9" t="n">
        <v>22</v>
      </c>
      <c r="B23" s="8" t="s">
        <v>160</v>
      </c>
      <c r="C23" s="8" t="s">
        <v>161</v>
      </c>
      <c r="D23" s="9" t="n">
        <v>5.8</v>
      </c>
      <c r="E23" s="8" t="s">
        <v>162</v>
      </c>
      <c r="F23" s="9" t="n">
        <v>40</v>
      </c>
      <c r="G23" s="9" t="s">
        <v>55</v>
      </c>
      <c r="H23" s="9" t="s">
        <v>56</v>
      </c>
      <c r="I23" s="8" t="s">
        <v>163</v>
      </c>
      <c r="J23" s="9" t="s">
        <v>81</v>
      </c>
      <c r="K23" s="12" t="s">
        <v>158</v>
      </c>
      <c r="L23" s="9" t="n">
        <v>22</v>
      </c>
      <c r="M23" s="9" t="n">
        <v>25</v>
      </c>
      <c r="N23" s="8" t="s">
        <v>164</v>
      </c>
    </row>
    <row r="24" customFormat="false" ht="30" hidden="false" customHeight="true" outlineLevel="0" collapsed="false">
      <c r="A24" s="9" t="n">
        <v>23</v>
      </c>
      <c r="B24" s="8" t="s">
        <v>165</v>
      </c>
      <c r="C24" s="8" t="s">
        <v>166</v>
      </c>
      <c r="D24" s="9" t="n">
        <v>5.5</v>
      </c>
      <c r="E24" s="8" t="s">
        <v>69</v>
      </c>
      <c r="F24" s="9" t="n">
        <v>30</v>
      </c>
      <c r="G24" s="9" t="s">
        <v>55</v>
      </c>
      <c r="H24" s="9" t="s">
        <v>56</v>
      </c>
      <c r="I24" s="8" t="s">
        <v>65</v>
      </c>
      <c r="J24" s="9" t="s">
        <v>81</v>
      </c>
      <c r="K24" s="12" t="s">
        <v>158</v>
      </c>
      <c r="L24" s="9" t="n">
        <v>23</v>
      </c>
      <c r="M24" s="9" t="n">
        <v>20</v>
      </c>
      <c r="N24" s="8" t="s">
        <v>167</v>
      </c>
    </row>
    <row r="25" customFormat="false" ht="30" hidden="false" customHeight="true" outlineLevel="0" collapsed="false">
      <c r="A25" s="9" t="n">
        <v>24</v>
      </c>
      <c r="B25" s="8" t="s">
        <v>168</v>
      </c>
      <c r="C25" s="8" t="s">
        <v>169</v>
      </c>
      <c r="D25" s="9" t="n">
        <v>5.1</v>
      </c>
      <c r="E25" s="8" t="s">
        <v>170</v>
      </c>
      <c r="F25" s="9" t="n">
        <v>30</v>
      </c>
      <c r="G25" s="9" t="s">
        <v>55</v>
      </c>
      <c r="H25" s="9" t="s">
        <v>56</v>
      </c>
      <c r="I25" s="8" t="s">
        <v>65</v>
      </c>
      <c r="J25" s="9" t="s">
        <v>81</v>
      </c>
      <c r="K25" s="12" t="s">
        <v>158</v>
      </c>
      <c r="L25" s="9" t="n">
        <v>24</v>
      </c>
      <c r="M25" s="9" t="n">
        <v>18</v>
      </c>
      <c r="N25" s="8" t="s">
        <v>171</v>
      </c>
    </row>
    <row r="26" customFormat="false" ht="30" hidden="false" customHeight="true" outlineLevel="0" collapsed="false">
      <c r="A26" s="9" t="n">
        <v>25</v>
      </c>
      <c r="B26" s="8" t="s">
        <v>172</v>
      </c>
      <c r="C26" s="8" t="s">
        <v>173</v>
      </c>
      <c r="D26" s="9" t="n">
        <v>4.6</v>
      </c>
      <c r="E26" s="8" t="s">
        <v>174</v>
      </c>
      <c r="F26" s="9" t="n">
        <v>40</v>
      </c>
      <c r="G26" s="9" t="s">
        <v>55</v>
      </c>
      <c r="H26" s="9" t="s">
        <v>56</v>
      </c>
      <c r="I26" s="8" t="s">
        <v>175</v>
      </c>
      <c r="J26" s="9" t="s">
        <v>81</v>
      </c>
      <c r="K26" s="12" t="s">
        <v>158</v>
      </c>
      <c r="L26" s="9" t="n">
        <v>25</v>
      </c>
      <c r="M26" s="9" t="n">
        <v>18</v>
      </c>
      <c r="N26" s="8" t="s">
        <v>176</v>
      </c>
    </row>
    <row r="27" customFormat="false" ht="30" hidden="false" customHeight="true" outlineLevel="0" collapsed="false">
      <c r="A27" s="9" t="n">
        <v>26</v>
      </c>
      <c r="B27" s="8" t="s">
        <v>177</v>
      </c>
      <c r="C27" s="8" t="s">
        <v>178</v>
      </c>
      <c r="D27" s="9" t="n">
        <v>4.5</v>
      </c>
      <c r="E27" s="8" t="s">
        <v>179</v>
      </c>
      <c r="F27" s="9" t="n">
        <v>40</v>
      </c>
      <c r="G27" s="9" t="s">
        <v>55</v>
      </c>
      <c r="H27" s="9" t="s">
        <v>56</v>
      </c>
      <c r="I27" s="8" t="s">
        <v>65</v>
      </c>
      <c r="J27" s="9" t="s">
        <v>81</v>
      </c>
      <c r="K27" s="12" t="s">
        <v>158</v>
      </c>
      <c r="L27" s="9" t="n">
        <v>26</v>
      </c>
      <c r="M27" s="9" t="n">
        <v>18</v>
      </c>
      <c r="N27" s="8"/>
    </row>
    <row r="28" customFormat="false" ht="30" hidden="false" customHeight="true" outlineLevel="0" collapsed="false">
      <c r="A28" s="9" t="n">
        <v>27</v>
      </c>
      <c r="B28" s="8" t="s">
        <v>180</v>
      </c>
      <c r="C28" s="8" t="s">
        <v>181</v>
      </c>
      <c r="D28" s="9" t="n">
        <v>4.2</v>
      </c>
      <c r="E28" s="8" t="s">
        <v>69</v>
      </c>
      <c r="F28" s="9" t="n">
        <v>35</v>
      </c>
      <c r="G28" s="9" t="s">
        <v>55</v>
      </c>
      <c r="H28" s="9" t="n">
        <v>30</v>
      </c>
      <c r="I28" s="8" t="s">
        <v>182</v>
      </c>
      <c r="J28" s="9" t="s">
        <v>81</v>
      </c>
      <c r="K28" s="12" t="s">
        <v>158</v>
      </c>
      <c r="L28" s="9" t="n">
        <v>27</v>
      </c>
      <c r="M28" s="9" t="n">
        <v>20</v>
      </c>
      <c r="N28" s="8" t="s">
        <v>183</v>
      </c>
    </row>
    <row r="29" customFormat="false" ht="30" hidden="false" customHeight="true" outlineLevel="0" collapsed="false">
      <c r="A29" s="9" t="n">
        <v>28</v>
      </c>
      <c r="B29" s="8" t="s">
        <v>184</v>
      </c>
      <c r="C29" s="8" t="s">
        <v>185</v>
      </c>
      <c r="D29" s="9" t="n">
        <v>4.1</v>
      </c>
      <c r="E29" s="8" t="s">
        <v>63</v>
      </c>
      <c r="F29" s="9" t="n">
        <v>25</v>
      </c>
      <c r="G29" s="9" t="s">
        <v>55</v>
      </c>
      <c r="H29" s="9" t="s">
        <v>56</v>
      </c>
      <c r="I29" s="8" t="s">
        <v>175</v>
      </c>
      <c r="J29" s="9" t="s">
        <v>81</v>
      </c>
      <c r="K29" s="12" t="s">
        <v>158</v>
      </c>
      <c r="L29" s="9" t="n">
        <v>28</v>
      </c>
      <c r="M29" s="9" t="n">
        <v>15</v>
      </c>
      <c r="N29" s="8"/>
    </row>
    <row r="30" customFormat="false" ht="30" hidden="false" customHeight="true" outlineLevel="0" collapsed="false">
      <c r="A30" s="9" t="n">
        <v>29</v>
      </c>
      <c r="B30" s="8" t="s">
        <v>186</v>
      </c>
      <c r="C30" s="8" t="s">
        <v>187</v>
      </c>
      <c r="D30" s="9" t="n">
        <v>3.6</v>
      </c>
      <c r="E30" s="8" t="s">
        <v>69</v>
      </c>
      <c r="F30" s="9" t="n">
        <v>25</v>
      </c>
      <c r="G30" s="9" t="s">
        <v>55</v>
      </c>
      <c r="H30" s="9" t="n">
        <v>30</v>
      </c>
      <c r="I30" s="8" t="s">
        <v>188</v>
      </c>
      <c r="J30" s="9" t="s">
        <v>81</v>
      </c>
      <c r="K30" s="12" t="s">
        <v>158</v>
      </c>
      <c r="L30" s="9" t="n">
        <v>29</v>
      </c>
      <c r="M30" s="9" t="n">
        <v>18</v>
      </c>
      <c r="N30" s="8"/>
    </row>
    <row r="31" customFormat="false" ht="30" hidden="false" customHeight="true" outlineLevel="0" collapsed="false">
      <c r="A31" s="9" t="n">
        <v>30</v>
      </c>
      <c r="B31" s="8" t="s">
        <v>189</v>
      </c>
      <c r="C31" s="8" t="s">
        <v>190</v>
      </c>
      <c r="D31" s="9" t="n">
        <v>3.4</v>
      </c>
      <c r="E31" s="8" t="s">
        <v>191</v>
      </c>
      <c r="F31" s="9" t="n">
        <v>25</v>
      </c>
      <c r="G31" s="9" t="s">
        <v>55</v>
      </c>
      <c r="H31" s="9" t="s">
        <v>56</v>
      </c>
      <c r="I31" s="8" t="s">
        <v>65</v>
      </c>
      <c r="J31" s="9" t="s">
        <v>81</v>
      </c>
      <c r="K31" s="12" t="s">
        <v>158</v>
      </c>
      <c r="L31" s="9" t="n">
        <v>30</v>
      </c>
      <c r="M31" s="9" t="n">
        <v>15</v>
      </c>
      <c r="N31" s="8" t="s">
        <v>192</v>
      </c>
    </row>
    <row r="32" customFormat="false" ht="30" hidden="false" customHeight="true" outlineLevel="0" collapsed="false">
      <c r="A32" s="9" t="n">
        <v>31</v>
      </c>
      <c r="B32" s="8" t="s">
        <v>193</v>
      </c>
      <c r="C32" s="8" t="s">
        <v>194</v>
      </c>
      <c r="D32" s="9" t="n">
        <v>3.2</v>
      </c>
      <c r="E32" s="8" t="s">
        <v>195</v>
      </c>
      <c r="F32" s="9" t="n">
        <v>35</v>
      </c>
      <c r="G32" s="9" t="s">
        <v>55</v>
      </c>
      <c r="H32" s="9" t="s">
        <v>56</v>
      </c>
      <c r="I32" s="8" t="s">
        <v>65</v>
      </c>
      <c r="J32" s="9" t="s">
        <v>81</v>
      </c>
      <c r="K32" s="12" t="s">
        <v>158</v>
      </c>
      <c r="L32" s="9" t="n">
        <v>31</v>
      </c>
      <c r="M32" s="9" t="n">
        <v>12</v>
      </c>
      <c r="N32" s="8"/>
    </row>
    <row r="33" customFormat="false" ht="30" hidden="false" customHeight="true" outlineLevel="0" collapsed="false">
      <c r="A33" s="9" t="n">
        <v>32</v>
      </c>
      <c r="B33" s="8" t="s">
        <v>196</v>
      </c>
      <c r="C33" s="8" t="s">
        <v>197</v>
      </c>
      <c r="D33" s="9" t="n">
        <v>3.2</v>
      </c>
      <c r="E33" s="8" t="s">
        <v>69</v>
      </c>
      <c r="F33" s="9" t="n">
        <v>50</v>
      </c>
      <c r="G33" s="9" t="s">
        <v>55</v>
      </c>
      <c r="H33" s="9" t="n">
        <v>30</v>
      </c>
      <c r="I33" s="8" t="s">
        <v>198</v>
      </c>
      <c r="J33" s="9" t="s">
        <v>81</v>
      </c>
      <c r="K33" s="12" t="s">
        <v>158</v>
      </c>
      <c r="L33" s="9" t="n">
        <v>32</v>
      </c>
      <c r="M33" s="9" t="n">
        <v>18</v>
      </c>
      <c r="N33" s="8" t="s">
        <v>199</v>
      </c>
    </row>
    <row r="34" customFormat="false" ht="30" hidden="false" customHeight="true" outlineLevel="0" collapsed="false">
      <c r="A34" s="9" t="n">
        <v>33</v>
      </c>
      <c r="B34" s="8" t="s">
        <v>200</v>
      </c>
      <c r="C34" s="8" t="s">
        <v>201</v>
      </c>
      <c r="D34" s="9" t="n">
        <v>3.1</v>
      </c>
      <c r="E34" s="8" t="s">
        <v>202</v>
      </c>
      <c r="F34" s="9" t="n">
        <v>25</v>
      </c>
      <c r="G34" s="9" t="s">
        <v>55</v>
      </c>
      <c r="H34" s="9" t="s">
        <v>56</v>
      </c>
      <c r="I34" s="8" t="s">
        <v>65</v>
      </c>
      <c r="J34" s="9" t="s">
        <v>81</v>
      </c>
      <c r="K34" s="12" t="s">
        <v>158</v>
      </c>
      <c r="L34" s="9" t="n">
        <v>33</v>
      </c>
      <c r="M34" s="9" t="n">
        <v>10</v>
      </c>
      <c r="N34" s="8"/>
    </row>
    <row r="35" customFormat="false" ht="30" hidden="false" customHeight="true" outlineLevel="0" collapsed="false">
      <c r="A35" s="9" t="n">
        <v>34</v>
      </c>
      <c r="B35" s="8" t="s">
        <v>203</v>
      </c>
      <c r="C35" s="8" t="s">
        <v>204</v>
      </c>
      <c r="D35" s="9" t="n">
        <v>2.9</v>
      </c>
      <c r="E35" s="8" t="s">
        <v>63</v>
      </c>
      <c r="F35" s="9" t="n">
        <v>30</v>
      </c>
      <c r="G35" s="9" t="s">
        <v>55</v>
      </c>
      <c r="H35" s="9" t="s">
        <v>56</v>
      </c>
      <c r="I35" s="8" t="s">
        <v>65</v>
      </c>
      <c r="J35" s="9" t="s">
        <v>81</v>
      </c>
      <c r="K35" s="12" t="s">
        <v>158</v>
      </c>
      <c r="L35" s="9" t="n">
        <v>34</v>
      </c>
      <c r="M35" s="9" t="n">
        <v>10</v>
      </c>
      <c r="N35" s="8"/>
    </row>
    <row r="36" customFormat="false" ht="30" hidden="false" customHeight="true" outlineLevel="0" collapsed="false">
      <c r="A36" s="9" t="n">
        <v>35</v>
      </c>
      <c r="B36" s="8" t="s">
        <v>205</v>
      </c>
      <c r="C36" s="8" t="s">
        <v>206</v>
      </c>
      <c r="D36" s="9" t="n">
        <v>2.9</v>
      </c>
      <c r="E36" s="8" t="s">
        <v>144</v>
      </c>
      <c r="F36" s="9" t="n">
        <v>25</v>
      </c>
      <c r="G36" s="9" t="s">
        <v>55</v>
      </c>
      <c r="H36" s="9" t="s">
        <v>56</v>
      </c>
      <c r="I36" s="8" t="s">
        <v>65</v>
      </c>
      <c r="J36" s="9" t="s">
        <v>81</v>
      </c>
      <c r="K36" s="12" t="s">
        <v>158</v>
      </c>
      <c r="L36" s="9" t="n">
        <v>35</v>
      </c>
      <c r="M36" s="9" t="n">
        <v>10</v>
      </c>
      <c r="N36" s="8"/>
    </row>
    <row r="37" customFormat="false" ht="30" hidden="false" customHeight="true" outlineLevel="0" collapsed="false">
      <c r="A37" s="9" t="n">
        <v>36</v>
      </c>
      <c r="B37" s="8" t="s">
        <v>207</v>
      </c>
      <c r="C37" s="8" t="s">
        <v>208</v>
      </c>
      <c r="D37" s="9" t="n">
        <v>2.1</v>
      </c>
      <c r="E37" s="8" t="s">
        <v>125</v>
      </c>
      <c r="F37" s="9" t="n">
        <v>25</v>
      </c>
      <c r="G37" s="9" t="s">
        <v>92</v>
      </c>
      <c r="H37" s="9" t="s">
        <v>56</v>
      </c>
      <c r="I37" s="8" t="s">
        <v>65</v>
      </c>
      <c r="J37" s="9" t="s">
        <v>81</v>
      </c>
      <c r="K37" s="12" t="s">
        <v>158</v>
      </c>
      <c r="L37" s="9" t="n">
        <v>36</v>
      </c>
      <c r="M37" s="9" t="n">
        <v>10</v>
      </c>
      <c r="N37" s="8" t="s">
        <v>209</v>
      </c>
    </row>
    <row r="38" customFormat="false" ht="30" hidden="false" customHeight="true" outlineLevel="0" collapsed="false">
      <c r="A38" s="9" t="n">
        <v>37</v>
      </c>
      <c r="B38" s="8" t="s">
        <v>210</v>
      </c>
      <c r="C38" s="8" t="s">
        <v>211</v>
      </c>
      <c r="D38" s="9" t="n">
        <v>2</v>
      </c>
      <c r="E38" s="8" t="s">
        <v>69</v>
      </c>
      <c r="F38" s="9" t="n">
        <v>25</v>
      </c>
      <c r="G38" s="9" t="s">
        <v>55</v>
      </c>
      <c r="H38" s="9" t="s">
        <v>56</v>
      </c>
      <c r="I38" s="8" t="s">
        <v>65</v>
      </c>
      <c r="J38" s="9" t="s">
        <v>81</v>
      </c>
      <c r="K38" s="12" t="s">
        <v>158</v>
      </c>
      <c r="L38" s="9" t="n">
        <v>37</v>
      </c>
      <c r="M38" s="9" t="n">
        <v>8</v>
      </c>
      <c r="N38" s="8"/>
    </row>
    <row r="39" customFormat="false" ht="30" hidden="false" customHeight="true" outlineLevel="0" collapsed="false">
      <c r="A39" s="9" t="n">
        <v>38</v>
      </c>
      <c r="B39" s="8" t="s">
        <v>212</v>
      </c>
      <c r="C39" s="8" t="s">
        <v>213</v>
      </c>
      <c r="D39" s="9" t="n">
        <v>2</v>
      </c>
      <c r="E39" s="8" t="s">
        <v>214</v>
      </c>
      <c r="F39" s="9" t="n">
        <v>40</v>
      </c>
      <c r="G39" s="9" t="s">
        <v>92</v>
      </c>
      <c r="H39" s="9" t="s">
        <v>56</v>
      </c>
      <c r="I39" s="8" t="s">
        <v>65</v>
      </c>
      <c r="J39" s="9" t="s">
        <v>81</v>
      </c>
      <c r="K39" s="12" t="s">
        <v>158</v>
      </c>
      <c r="L39" s="9" t="n">
        <v>38</v>
      </c>
      <c r="M39" s="9" t="n">
        <v>8</v>
      </c>
      <c r="N39" s="8" t="s">
        <v>215</v>
      </c>
    </row>
    <row r="40" customFormat="false" ht="30" hidden="false" customHeight="true" outlineLevel="0" collapsed="false">
      <c r="A40" s="9" t="n">
        <v>39</v>
      </c>
      <c r="B40" s="8" t="s">
        <v>216</v>
      </c>
      <c r="C40" s="8" t="s">
        <v>217</v>
      </c>
      <c r="D40" s="9" t="n">
        <v>1.8</v>
      </c>
      <c r="E40" s="8" t="s">
        <v>69</v>
      </c>
      <c r="F40" s="9" t="n">
        <v>25</v>
      </c>
      <c r="G40" s="9" t="s">
        <v>55</v>
      </c>
      <c r="H40" s="9" t="s">
        <v>56</v>
      </c>
      <c r="I40" s="8" t="s">
        <v>218</v>
      </c>
      <c r="J40" s="9" t="s">
        <v>81</v>
      </c>
      <c r="K40" s="12" t="s">
        <v>158</v>
      </c>
      <c r="L40" s="9" t="n">
        <v>39</v>
      </c>
      <c r="M40" s="9" t="n">
        <v>6</v>
      </c>
      <c r="N40" s="8"/>
    </row>
    <row r="41" customFormat="false" ht="30" hidden="false" customHeight="true" outlineLevel="0" collapsed="false">
      <c r="A41" s="9" t="n">
        <v>40</v>
      </c>
      <c r="B41" s="8" t="s">
        <v>219</v>
      </c>
      <c r="C41" s="8" t="s">
        <v>220</v>
      </c>
      <c r="D41" s="9" t="n">
        <v>1.5</v>
      </c>
      <c r="E41" s="8" t="s">
        <v>195</v>
      </c>
      <c r="F41" s="9" t="n">
        <v>30</v>
      </c>
      <c r="G41" s="9" t="s">
        <v>55</v>
      </c>
      <c r="H41" s="9" t="s">
        <v>56</v>
      </c>
      <c r="I41" s="8" t="s">
        <v>221</v>
      </c>
      <c r="J41" s="9" t="s">
        <v>81</v>
      </c>
      <c r="K41" s="12" t="s">
        <v>158</v>
      </c>
      <c r="L41" s="9" t="n">
        <v>40</v>
      </c>
      <c r="M41" s="9" t="n">
        <v>12</v>
      </c>
      <c r="N41" s="8" t="s">
        <v>222</v>
      </c>
    </row>
    <row r="42" customFormat="false" ht="30" hidden="false" customHeight="true" outlineLevel="0" collapsed="false">
      <c r="A42" s="9" t="n">
        <v>41</v>
      </c>
      <c r="B42" s="8" t="s">
        <v>223</v>
      </c>
      <c r="C42" s="8" t="s">
        <v>224</v>
      </c>
      <c r="D42" s="9" t="n">
        <v>1.4</v>
      </c>
      <c r="E42" s="8" t="s">
        <v>69</v>
      </c>
      <c r="F42" s="9" t="n">
        <v>40</v>
      </c>
      <c r="G42" s="9" t="s">
        <v>55</v>
      </c>
      <c r="H42" s="9" t="s">
        <v>56</v>
      </c>
      <c r="I42" s="8" t="s">
        <v>225</v>
      </c>
      <c r="J42" s="9" t="s">
        <v>81</v>
      </c>
      <c r="K42" s="12" t="s">
        <v>158</v>
      </c>
      <c r="L42" s="9" t="n">
        <v>41</v>
      </c>
      <c r="M42" s="9" t="n">
        <v>6</v>
      </c>
      <c r="N42" s="8"/>
    </row>
    <row r="43" customFormat="false" ht="30" hidden="false" customHeight="true" outlineLevel="0" collapsed="false">
      <c r="A43" s="9" t="n">
        <v>42</v>
      </c>
      <c r="B43" s="8" t="s">
        <v>226</v>
      </c>
      <c r="C43" s="8" t="s">
        <v>227</v>
      </c>
      <c r="D43" s="9" t="n">
        <v>1.4</v>
      </c>
      <c r="E43" s="8" t="s">
        <v>91</v>
      </c>
      <c r="F43" s="9" t="n">
        <v>40</v>
      </c>
      <c r="G43" s="9" t="s">
        <v>92</v>
      </c>
      <c r="H43" s="9" t="s">
        <v>56</v>
      </c>
      <c r="I43" s="8" t="s">
        <v>228</v>
      </c>
      <c r="J43" s="9" t="s">
        <v>81</v>
      </c>
      <c r="K43" s="12" t="s">
        <v>158</v>
      </c>
      <c r="L43" s="9" t="n">
        <v>42</v>
      </c>
      <c r="M43" s="9" t="n">
        <v>5</v>
      </c>
      <c r="N43" s="8" t="s">
        <v>229</v>
      </c>
    </row>
    <row r="44" customFormat="false" ht="30" hidden="false" customHeight="true" outlineLevel="0" collapsed="false">
      <c r="A44" s="9" t="n">
        <v>43</v>
      </c>
      <c r="B44" s="8" t="s">
        <v>230</v>
      </c>
      <c r="C44" s="8" t="s">
        <v>231</v>
      </c>
      <c r="D44" s="9" t="n">
        <v>1.1</v>
      </c>
      <c r="E44" s="8" t="s">
        <v>125</v>
      </c>
      <c r="F44" s="9" t="n">
        <v>33</v>
      </c>
      <c r="G44" s="9" t="s">
        <v>55</v>
      </c>
      <c r="H44" s="9" t="s">
        <v>56</v>
      </c>
      <c r="I44" s="8" t="s">
        <v>65</v>
      </c>
      <c r="J44" s="9" t="s">
        <v>81</v>
      </c>
      <c r="K44" s="12" t="s">
        <v>158</v>
      </c>
      <c r="L44" s="9" t="n">
        <v>43</v>
      </c>
      <c r="M44" s="9" t="n">
        <v>5</v>
      </c>
      <c r="N44" s="8"/>
    </row>
    <row r="45" customFormat="false" ht="30" hidden="false" customHeight="true" outlineLevel="0" collapsed="false">
      <c r="A45" s="9" t="n">
        <v>44</v>
      </c>
      <c r="B45" s="8" t="s">
        <v>232</v>
      </c>
      <c r="C45" s="8" t="s">
        <v>233</v>
      </c>
      <c r="D45" s="9" t="n">
        <v>1.1</v>
      </c>
      <c r="E45" s="8" t="s">
        <v>69</v>
      </c>
      <c r="F45" s="9" t="n">
        <v>25</v>
      </c>
      <c r="G45" s="9" t="s">
        <v>55</v>
      </c>
      <c r="H45" s="9" t="n">
        <v>30</v>
      </c>
      <c r="I45" s="8" t="s">
        <v>234</v>
      </c>
      <c r="J45" s="9" t="s">
        <v>81</v>
      </c>
      <c r="K45" s="12" t="s">
        <v>158</v>
      </c>
      <c r="L45" s="9" t="n">
        <v>44</v>
      </c>
      <c r="M45" s="9" t="n">
        <v>6</v>
      </c>
      <c r="N45" s="8" t="s">
        <v>235</v>
      </c>
    </row>
    <row r="46" customFormat="false" ht="30" hidden="false" customHeight="true" outlineLevel="0" collapsed="false">
      <c r="A46" s="9" t="n">
        <v>45</v>
      </c>
      <c r="B46" s="8" t="s">
        <v>236</v>
      </c>
      <c r="C46" s="8" t="s">
        <v>237</v>
      </c>
      <c r="D46" s="9" t="n">
        <v>1</v>
      </c>
      <c r="E46" s="8" t="s">
        <v>69</v>
      </c>
      <c r="F46" s="9" t="n">
        <v>25</v>
      </c>
      <c r="G46" s="9" t="s">
        <v>55</v>
      </c>
      <c r="H46" s="9" t="s">
        <v>56</v>
      </c>
      <c r="I46" s="8" t="s">
        <v>65</v>
      </c>
      <c r="J46" s="9" t="s">
        <v>81</v>
      </c>
      <c r="K46" s="12" t="s">
        <v>158</v>
      </c>
      <c r="L46" s="9" t="n">
        <v>45</v>
      </c>
      <c r="M46" s="9" t="n">
        <v>5</v>
      </c>
      <c r="N46" s="8"/>
    </row>
    <row r="47" customFormat="false" ht="30" hidden="false" customHeight="true" outlineLevel="0" collapsed="false">
      <c r="A47" s="9" t="n">
        <v>46</v>
      </c>
      <c r="B47" s="8" t="s">
        <v>238</v>
      </c>
      <c r="C47" s="8" t="s">
        <v>239</v>
      </c>
      <c r="D47" s="9" t="n">
        <v>0.9</v>
      </c>
      <c r="E47" s="8" t="s">
        <v>69</v>
      </c>
      <c r="F47" s="9" t="n">
        <v>25</v>
      </c>
      <c r="G47" s="9" t="s">
        <v>55</v>
      </c>
      <c r="H47" s="9" t="s">
        <v>56</v>
      </c>
      <c r="I47" s="8" t="s">
        <v>65</v>
      </c>
      <c r="J47" s="9" t="s">
        <v>81</v>
      </c>
      <c r="K47" s="12" t="s">
        <v>158</v>
      </c>
      <c r="L47" s="9" t="n">
        <v>46</v>
      </c>
      <c r="M47" s="9" t="n">
        <v>3</v>
      </c>
      <c r="N47" s="8"/>
    </row>
    <row r="48" customFormat="false" ht="30" hidden="false" customHeight="true" outlineLevel="0" collapsed="false">
      <c r="A48" s="9" t="n">
        <v>47</v>
      </c>
      <c r="B48" s="8" t="s">
        <v>240</v>
      </c>
      <c r="C48" s="8" t="s">
        <v>241</v>
      </c>
      <c r="D48" s="9" t="n">
        <v>0.8</v>
      </c>
      <c r="E48" s="8" t="s">
        <v>195</v>
      </c>
      <c r="F48" s="9" t="n">
        <v>25</v>
      </c>
      <c r="G48" s="9" t="s">
        <v>92</v>
      </c>
      <c r="H48" s="9" t="s">
        <v>56</v>
      </c>
      <c r="I48" s="8" t="s">
        <v>65</v>
      </c>
      <c r="J48" s="9" t="s">
        <v>81</v>
      </c>
      <c r="K48" s="12" t="s">
        <v>158</v>
      </c>
      <c r="L48" s="9" t="n">
        <v>47</v>
      </c>
      <c r="M48" s="9" t="n">
        <v>3</v>
      </c>
      <c r="N48" s="8"/>
    </row>
    <row r="49" customFormat="false" ht="30" hidden="false" customHeight="true" outlineLevel="0" collapsed="false">
      <c r="A49" s="9" t="n">
        <v>48</v>
      </c>
      <c r="B49" s="8" t="s">
        <v>242</v>
      </c>
      <c r="C49" s="8" t="s">
        <v>243</v>
      </c>
      <c r="D49" s="9" t="n">
        <v>0.7</v>
      </c>
      <c r="E49" s="8" t="s">
        <v>69</v>
      </c>
      <c r="F49" s="9" t="n">
        <v>20</v>
      </c>
      <c r="G49" s="9" t="s">
        <v>55</v>
      </c>
      <c r="H49" s="9" t="s">
        <v>56</v>
      </c>
      <c r="I49" s="8" t="s">
        <v>65</v>
      </c>
      <c r="J49" s="9" t="s">
        <v>81</v>
      </c>
      <c r="K49" s="12" t="s">
        <v>158</v>
      </c>
      <c r="L49" s="9" t="n">
        <v>48</v>
      </c>
      <c r="M49" s="9" t="n">
        <v>3</v>
      </c>
      <c r="N49" s="8"/>
    </row>
    <row r="50" customFormat="false" ht="30" hidden="false" customHeight="true" outlineLevel="0" collapsed="false">
      <c r="A50" s="9" t="n">
        <v>49</v>
      </c>
      <c r="B50" s="8" t="s">
        <v>244</v>
      </c>
      <c r="C50" s="8" t="s">
        <v>245</v>
      </c>
      <c r="D50" s="9" t="n">
        <v>0.6</v>
      </c>
      <c r="E50" s="8" t="s">
        <v>69</v>
      </c>
      <c r="F50" s="9" t="n">
        <v>20</v>
      </c>
      <c r="G50" s="9" t="s">
        <v>55</v>
      </c>
      <c r="H50" s="9" t="s">
        <v>56</v>
      </c>
      <c r="I50" s="8" t="s">
        <v>225</v>
      </c>
      <c r="J50" s="9" t="s">
        <v>81</v>
      </c>
      <c r="K50" s="12" t="s">
        <v>158</v>
      </c>
      <c r="L50" s="9" t="n">
        <v>49</v>
      </c>
      <c r="M50" s="9" t="n">
        <v>2</v>
      </c>
      <c r="N50" s="8"/>
    </row>
    <row r="51" customFormat="false" ht="30" hidden="false" customHeight="true" outlineLevel="0" collapsed="false">
      <c r="A51" s="9" t="n">
        <v>50</v>
      </c>
      <c r="B51" s="8" t="s">
        <v>246</v>
      </c>
      <c r="C51" s="8" t="s">
        <v>247</v>
      </c>
      <c r="D51" s="9" t="n">
        <v>0.6</v>
      </c>
      <c r="E51" s="8" t="s">
        <v>195</v>
      </c>
      <c r="F51" s="9" t="n">
        <v>25</v>
      </c>
      <c r="G51" s="9" t="s">
        <v>55</v>
      </c>
      <c r="H51" s="9" t="s">
        <v>56</v>
      </c>
      <c r="I51" s="8" t="s">
        <v>65</v>
      </c>
      <c r="J51" s="9" t="s">
        <v>81</v>
      </c>
      <c r="K51" s="12" t="s">
        <v>158</v>
      </c>
      <c r="L51" s="9" t="n">
        <v>50</v>
      </c>
      <c r="M51" s="9" t="n">
        <v>2</v>
      </c>
      <c r="N51" s="8"/>
    </row>
    <row r="52" customFormat="false" ht="30" hidden="false" customHeight="true" outlineLevel="0" collapsed="false">
      <c r="A52" s="9" t="n">
        <v>51</v>
      </c>
      <c r="B52" s="8" t="s">
        <v>248</v>
      </c>
      <c r="C52" s="8" t="s">
        <v>249</v>
      </c>
      <c r="D52" s="9" t="n">
        <v>0.7</v>
      </c>
      <c r="E52" s="8" t="s">
        <v>69</v>
      </c>
      <c r="F52" s="9" t="n">
        <v>25</v>
      </c>
      <c r="G52" s="9" t="s">
        <v>55</v>
      </c>
      <c r="H52" s="9" t="n">
        <v>30</v>
      </c>
      <c r="I52" s="8" t="s">
        <v>250</v>
      </c>
      <c r="J52" s="9" t="s">
        <v>81</v>
      </c>
      <c r="K52" s="12" t="s">
        <v>158</v>
      </c>
      <c r="L52" s="9" t="n">
        <v>51</v>
      </c>
      <c r="M52" s="9" t="n">
        <v>8</v>
      </c>
      <c r="N52" s="8" t="s">
        <v>251</v>
      </c>
    </row>
    <row r="53" customFormat="false" ht="15" hidden="false" customHeight="false" outlineLevel="0" collapsed="false">
      <c r="A53" s="13"/>
      <c r="B53" s="14" t="s">
        <v>252</v>
      </c>
      <c r="C53" s="13"/>
      <c r="D53" s="14" t="n">
        <f aca="false">SUM(D2:D52)</f>
        <v>335.5</v>
      </c>
      <c r="E53" s="13"/>
      <c r="F53" s="13"/>
      <c r="G53" s="13"/>
      <c r="H53" s="13"/>
      <c r="I53" s="13"/>
      <c r="J53" s="13"/>
      <c r="K53" s="13"/>
      <c r="L53" s="13"/>
      <c r="M53" s="14" t="n">
        <f aca="false">SUM(M2:M52)</f>
        <v>1789</v>
      </c>
      <c r="N53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38"/>
    <col collapsed="false" customWidth="true" hidden="false" outlineLevel="0" max="6" min="6" style="0" width="30"/>
    <col collapsed="false" customWidth="true" hidden="false" outlineLevel="0" max="7" min="7" style="0" width="35"/>
  </cols>
  <sheetData>
    <row r="1" customFormat="false" ht="17.35" hidden="false" customHeight="false" outlineLevel="0" collapsed="false">
      <c r="A1" s="15" t="s">
        <v>253</v>
      </c>
      <c r="B1" s="15"/>
      <c r="C1" s="15"/>
      <c r="D1" s="15"/>
      <c r="E1" s="15"/>
      <c r="F1" s="15"/>
      <c r="G1" s="15"/>
    </row>
    <row r="2" customFormat="false" ht="15" hidden="false" customHeight="false" outlineLevel="0" collapsed="false">
      <c r="A2" s="16" t="s">
        <v>254</v>
      </c>
      <c r="B2" s="16"/>
      <c r="C2" s="16"/>
      <c r="D2" s="16"/>
      <c r="E2" s="16"/>
      <c r="F2" s="16"/>
      <c r="G2" s="16"/>
    </row>
    <row r="4" customFormat="false" ht="30" hidden="false" customHeight="true" outlineLevel="0" collapsed="false">
      <c r="A4" s="6" t="s">
        <v>255</v>
      </c>
      <c r="B4" s="6" t="s">
        <v>39</v>
      </c>
      <c r="C4" s="6" t="s">
        <v>256</v>
      </c>
      <c r="D4" s="6" t="s">
        <v>257</v>
      </c>
      <c r="E4" s="6" t="s">
        <v>258</v>
      </c>
      <c r="F4" s="6" t="s">
        <v>259</v>
      </c>
      <c r="G4" s="6" t="s">
        <v>260</v>
      </c>
    </row>
    <row r="5" customFormat="false" ht="69.75" hidden="false" customHeight="true" outlineLevel="0" collapsed="false">
      <c r="A5" s="17" t="n">
        <v>1</v>
      </c>
      <c r="B5" s="7" t="s">
        <v>52</v>
      </c>
      <c r="C5" s="8" t="s">
        <v>261</v>
      </c>
      <c r="D5" s="8" t="s">
        <v>262</v>
      </c>
      <c r="E5" s="8" t="s">
        <v>263</v>
      </c>
      <c r="F5" s="8" t="s">
        <v>264</v>
      </c>
      <c r="G5" s="8" t="s">
        <v>265</v>
      </c>
    </row>
    <row r="6" customFormat="false" ht="69.75" hidden="false" customHeight="true" outlineLevel="0" collapsed="false">
      <c r="A6" s="17" t="n">
        <v>2</v>
      </c>
      <c r="B6" s="7" t="s">
        <v>52</v>
      </c>
      <c r="C6" s="8" t="s">
        <v>266</v>
      </c>
      <c r="D6" s="8" t="s">
        <v>267</v>
      </c>
      <c r="E6" s="8" t="s">
        <v>268</v>
      </c>
      <c r="F6" s="8" t="s">
        <v>269</v>
      </c>
      <c r="G6" s="8" t="s">
        <v>270</v>
      </c>
    </row>
    <row r="7" customFormat="false" ht="69.75" hidden="false" customHeight="true" outlineLevel="0" collapsed="false">
      <c r="A7" s="17" t="n">
        <v>3</v>
      </c>
      <c r="B7" s="7" t="s">
        <v>52</v>
      </c>
      <c r="C7" s="8" t="s">
        <v>271</v>
      </c>
      <c r="D7" s="8" t="s">
        <v>272</v>
      </c>
      <c r="E7" s="8" t="s">
        <v>273</v>
      </c>
      <c r="F7" s="8" t="s">
        <v>274</v>
      </c>
      <c r="G7" s="8" t="s">
        <v>275</v>
      </c>
    </row>
    <row r="8" customFormat="false" ht="69.75" hidden="false" customHeight="true" outlineLevel="0" collapsed="false">
      <c r="A8" s="17" t="n">
        <v>4</v>
      </c>
      <c r="B8" s="7" t="s">
        <v>52</v>
      </c>
      <c r="C8" s="8" t="s">
        <v>276</v>
      </c>
      <c r="D8" s="8" t="s">
        <v>277</v>
      </c>
      <c r="E8" s="8" t="s">
        <v>278</v>
      </c>
      <c r="F8" s="8" t="s">
        <v>279</v>
      </c>
      <c r="G8" s="8" t="s">
        <v>280</v>
      </c>
    </row>
    <row r="9" customFormat="false" ht="69.75" hidden="false" customHeight="true" outlineLevel="0" collapsed="false">
      <c r="A9" s="17" t="n">
        <v>5</v>
      </c>
      <c r="B9" s="7" t="s">
        <v>61</v>
      </c>
      <c r="C9" s="8" t="s">
        <v>281</v>
      </c>
      <c r="D9" s="8" t="s">
        <v>282</v>
      </c>
      <c r="E9" s="8" t="s">
        <v>283</v>
      </c>
      <c r="F9" s="8" t="s">
        <v>284</v>
      </c>
      <c r="G9" s="8" t="s">
        <v>285</v>
      </c>
    </row>
    <row r="10" customFormat="false" ht="69.75" hidden="false" customHeight="true" outlineLevel="0" collapsed="false">
      <c r="A10" s="17" t="n">
        <v>6</v>
      </c>
      <c r="B10" s="7" t="s">
        <v>61</v>
      </c>
      <c r="C10" s="8" t="s">
        <v>286</v>
      </c>
      <c r="D10" s="8" t="s">
        <v>287</v>
      </c>
      <c r="E10" s="8" t="s">
        <v>288</v>
      </c>
      <c r="F10" s="8" t="s">
        <v>289</v>
      </c>
      <c r="G10" s="8" t="s">
        <v>290</v>
      </c>
    </row>
    <row r="11" customFormat="false" ht="69.75" hidden="false" customHeight="true" outlineLevel="0" collapsed="false">
      <c r="A11" s="17" t="n">
        <v>7</v>
      </c>
      <c r="B11" s="7" t="s">
        <v>72</v>
      </c>
      <c r="C11" s="8" t="s">
        <v>291</v>
      </c>
      <c r="D11" s="8" t="s">
        <v>292</v>
      </c>
      <c r="E11" s="8" t="s">
        <v>293</v>
      </c>
      <c r="F11" s="8" t="s">
        <v>294</v>
      </c>
      <c r="G11" s="8" t="s">
        <v>295</v>
      </c>
    </row>
    <row r="12" customFormat="false" ht="69.75" hidden="false" customHeight="true" outlineLevel="0" collapsed="false">
      <c r="A12" s="17" t="n">
        <v>8</v>
      </c>
      <c r="B12" s="7" t="s">
        <v>72</v>
      </c>
      <c r="C12" s="8" t="s">
        <v>296</v>
      </c>
      <c r="D12" s="8" t="s">
        <v>297</v>
      </c>
      <c r="E12" s="8" t="s">
        <v>298</v>
      </c>
      <c r="F12" s="8" t="s">
        <v>299</v>
      </c>
      <c r="G12" s="8" t="s">
        <v>300</v>
      </c>
    </row>
    <row r="13" customFormat="false" ht="69.75" hidden="false" customHeight="true" outlineLevel="0" collapsed="false">
      <c r="A13" s="17" t="n">
        <v>9</v>
      </c>
      <c r="B13" s="7" t="s">
        <v>72</v>
      </c>
      <c r="C13" s="8" t="s">
        <v>301</v>
      </c>
      <c r="D13" s="8" t="s">
        <v>302</v>
      </c>
      <c r="E13" s="8" t="s">
        <v>303</v>
      </c>
      <c r="F13" s="8" t="s">
        <v>304</v>
      </c>
      <c r="G13" s="8" t="s">
        <v>305</v>
      </c>
    </row>
    <row r="14" customFormat="false" ht="69.75" hidden="false" customHeight="true" outlineLevel="0" collapsed="false">
      <c r="A14" s="17" t="n">
        <v>10</v>
      </c>
      <c r="B14" s="7" t="s">
        <v>72</v>
      </c>
      <c r="C14" s="8" t="s">
        <v>286</v>
      </c>
      <c r="D14" s="8" t="s">
        <v>306</v>
      </c>
      <c r="E14" s="8" t="s">
        <v>307</v>
      </c>
      <c r="F14" s="8" t="s">
        <v>308</v>
      </c>
      <c r="G14" s="8" t="s">
        <v>309</v>
      </c>
    </row>
    <row r="15" customFormat="false" ht="69.75" hidden="false" customHeight="true" outlineLevel="0" collapsed="false">
      <c r="A15" s="17" t="n">
        <v>11</v>
      </c>
      <c r="B15" s="7" t="s">
        <v>67</v>
      </c>
      <c r="C15" s="8" t="s">
        <v>310</v>
      </c>
      <c r="D15" s="8" t="s">
        <v>311</v>
      </c>
      <c r="E15" s="8" t="s">
        <v>312</v>
      </c>
      <c r="F15" s="8" t="s">
        <v>313</v>
      </c>
      <c r="G15" s="8" t="s">
        <v>314</v>
      </c>
    </row>
    <row r="16" customFormat="false" ht="69.75" hidden="false" customHeight="true" outlineLevel="0" collapsed="false">
      <c r="A16" s="17" t="n">
        <v>12</v>
      </c>
      <c r="B16" s="7" t="s">
        <v>67</v>
      </c>
      <c r="C16" s="8" t="s">
        <v>286</v>
      </c>
      <c r="D16" s="8" t="s">
        <v>315</v>
      </c>
      <c r="E16" s="8" t="s">
        <v>316</v>
      </c>
      <c r="F16" s="8" t="s">
        <v>317</v>
      </c>
      <c r="G16" s="8" t="s">
        <v>318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50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8"/>
  </cols>
  <sheetData>
    <row r="1" customFormat="false" ht="17.35" hidden="false" customHeight="false" outlineLevel="0" collapsed="false">
      <c r="A1" s="15" t="s">
        <v>319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16" t="s">
        <v>320</v>
      </c>
      <c r="B2" s="16"/>
      <c r="C2" s="16"/>
      <c r="D2" s="16"/>
      <c r="E2" s="16"/>
      <c r="F2" s="16"/>
    </row>
    <row r="4" customFormat="false" ht="30" hidden="false" customHeight="true" outlineLevel="0" collapsed="false">
      <c r="A4" s="6" t="s">
        <v>48</v>
      </c>
      <c r="B4" s="6" t="s">
        <v>321</v>
      </c>
      <c r="C4" s="6" t="s">
        <v>322</v>
      </c>
      <c r="D4" s="6" t="s">
        <v>323</v>
      </c>
      <c r="E4" s="6" t="s">
        <v>324</v>
      </c>
      <c r="F4" s="6" t="s">
        <v>325</v>
      </c>
    </row>
    <row r="5" customFormat="false" ht="15" hidden="false" customHeight="false" outlineLevel="0" collapsed="false">
      <c r="A5" s="10" t="s">
        <v>326</v>
      </c>
      <c r="B5" s="8" t="s">
        <v>327</v>
      </c>
      <c r="C5" s="8" t="s">
        <v>328</v>
      </c>
      <c r="D5" s="8" t="s">
        <v>329</v>
      </c>
      <c r="E5" s="8" t="s">
        <v>56</v>
      </c>
      <c r="F5" s="18" t="s">
        <v>330</v>
      </c>
    </row>
    <row r="6" customFormat="false" ht="23.85" hidden="false" customHeight="false" outlineLevel="0" collapsed="false">
      <c r="A6" s="10" t="s">
        <v>326</v>
      </c>
      <c r="B6" s="8" t="s">
        <v>331</v>
      </c>
      <c r="C6" s="8" t="s">
        <v>332</v>
      </c>
      <c r="D6" s="8" t="s">
        <v>329</v>
      </c>
      <c r="E6" s="8" t="s">
        <v>333</v>
      </c>
      <c r="F6" s="18" t="s">
        <v>330</v>
      </c>
    </row>
    <row r="7" customFormat="false" ht="23.85" hidden="false" customHeight="false" outlineLevel="0" collapsed="false">
      <c r="A7" s="10" t="s">
        <v>326</v>
      </c>
      <c r="B7" s="8" t="s">
        <v>334</v>
      </c>
      <c r="C7" s="8" t="s">
        <v>335</v>
      </c>
      <c r="D7" s="8" t="s">
        <v>329</v>
      </c>
      <c r="E7" s="8" t="s">
        <v>336</v>
      </c>
      <c r="F7" s="18" t="s">
        <v>330</v>
      </c>
    </row>
    <row r="8" customFormat="false" ht="15" hidden="false" customHeight="false" outlineLevel="0" collapsed="false">
      <c r="A8" s="10" t="s">
        <v>326</v>
      </c>
      <c r="B8" s="8" t="s">
        <v>337</v>
      </c>
      <c r="C8" s="8" t="s">
        <v>338</v>
      </c>
      <c r="D8" s="8" t="s">
        <v>329</v>
      </c>
      <c r="E8" s="8" t="s">
        <v>339</v>
      </c>
      <c r="F8" s="18" t="s">
        <v>330</v>
      </c>
    </row>
    <row r="9" customFormat="false" ht="15" hidden="false" customHeight="false" outlineLevel="0" collapsed="false">
      <c r="A9" s="10" t="s">
        <v>326</v>
      </c>
      <c r="B9" s="8" t="s">
        <v>340</v>
      </c>
      <c r="C9" s="8" t="s">
        <v>341</v>
      </c>
      <c r="D9" s="8" t="s">
        <v>329</v>
      </c>
      <c r="E9" s="8" t="s">
        <v>342</v>
      </c>
      <c r="F9" s="18" t="s">
        <v>330</v>
      </c>
    </row>
    <row r="10" customFormat="false" ht="23.85" hidden="false" customHeight="false" outlineLevel="0" collapsed="false">
      <c r="A10" s="10" t="s">
        <v>326</v>
      </c>
      <c r="B10" s="8" t="s">
        <v>343</v>
      </c>
      <c r="C10" s="8" t="s">
        <v>344</v>
      </c>
      <c r="D10" s="8" t="s">
        <v>329</v>
      </c>
      <c r="E10" s="8" t="s">
        <v>345</v>
      </c>
      <c r="F10" s="18" t="s">
        <v>330</v>
      </c>
    </row>
    <row r="11" customFormat="false" ht="23.85" hidden="false" customHeight="false" outlineLevel="0" collapsed="false">
      <c r="A11" s="10" t="s">
        <v>326</v>
      </c>
      <c r="B11" s="8" t="s">
        <v>346</v>
      </c>
      <c r="C11" s="8" t="s">
        <v>347</v>
      </c>
      <c r="D11" s="8" t="s">
        <v>329</v>
      </c>
      <c r="E11" s="8" t="s">
        <v>348</v>
      </c>
      <c r="F11" s="18" t="s">
        <v>330</v>
      </c>
    </row>
    <row r="12" customFormat="false" ht="23.85" hidden="false" customHeight="false" outlineLevel="0" collapsed="false">
      <c r="A12" s="10" t="s">
        <v>326</v>
      </c>
      <c r="B12" s="8" t="s">
        <v>349</v>
      </c>
      <c r="C12" s="8" t="s">
        <v>350</v>
      </c>
      <c r="D12" s="8" t="s">
        <v>351</v>
      </c>
      <c r="E12" s="8" t="s">
        <v>339</v>
      </c>
      <c r="F12" s="18" t="s">
        <v>330</v>
      </c>
    </row>
    <row r="13" customFormat="false" ht="23.85" hidden="false" customHeight="false" outlineLevel="0" collapsed="false">
      <c r="A13" s="10" t="s">
        <v>326</v>
      </c>
      <c r="B13" s="8" t="s">
        <v>352</v>
      </c>
      <c r="C13" s="8" t="s">
        <v>353</v>
      </c>
      <c r="D13" s="8" t="s">
        <v>351</v>
      </c>
      <c r="E13" s="8" t="s">
        <v>342</v>
      </c>
      <c r="F13" s="18" t="s">
        <v>330</v>
      </c>
    </row>
    <row r="14" customFormat="false" ht="23.85" hidden="false" customHeight="false" outlineLevel="0" collapsed="false">
      <c r="A14" s="10" t="s">
        <v>326</v>
      </c>
      <c r="B14" s="8" t="s">
        <v>354</v>
      </c>
      <c r="C14" s="8" t="s">
        <v>355</v>
      </c>
      <c r="D14" s="8" t="s">
        <v>329</v>
      </c>
      <c r="E14" s="8" t="s">
        <v>356</v>
      </c>
      <c r="F14" s="18" t="s">
        <v>330</v>
      </c>
    </row>
    <row r="15" customFormat="false" ht="23.85" hidden="false" customHeight="false" outlineLevel="0" collapsed="false">
      <c r="A15" s="11" t="s">
        <v>357</v>
      </c>
      <c r="B15" s="8" t="s">
        <v>358</v>
      </c>
      <c r="C15" s="8" t="s">
        <v>359</v>
      </c>
      <c r="D15" s="8" t="s">
        <v>351</v>
      </c>
      <c r="E15" s="8" t="s">
        <v>360</v>
      </c>
      <c r="F15" s="18" t="s">
        <v>330</v>
      </c>
    </row>
    <row r="16" customFormat="false" ht="15" hidden="false" customHeight="false" outlineLevel="0" collapsed="false">
      <c r="A16" s="11" t="s">
        <v>357</v>
      </c>
      <c r="B16" s="8" t="s">
        <v>361</v>
      </c>
      <c r="C16" s="8" t="s">
        <v>362</v>
      </c>
      <c r="D16" s="8" t="s">
        <v>351</v>
      </c>
      <c r="E16" s="8" t="s">
        <v>360</v>
      </c>
      <c r="F16" s="18" t="s">
        <v>330</v>
      </c>
    </row>
    <row r="17" customFormat="false" ht="23.85" hidden="false" customHeight="false" outlineLevel="0" collapsed="false">
      <c r="A17" s="11" t="s">
        <v>357</v>
      </c>
      <c r="B17" s="8" t="s">
        <v>363</v>
      </c>
      <c r="C17" s="8" t="s">
        <v>364</v>
      </c>
      <c r="D17" s="8" t="s">
        <v>351</v>
      </c>
      <c r="E17" s="8" t="s">
        <v>365</v>
      </c>
      <c r="F17" s="18" t="s">
        <v>330</v>
      </c>
    </row>
    <row r="18" customFormat="false" ht="15" hidden="false" customHeight="false" outlineLevel="0" collapsed="false">
      <c r="A18" s="11" t="s">
        <v>357</v>
      </c>
      <c r="B18" s="8" t="s">
        <v>366</v>
      </c>
      <c r="C18" s="8" t="s">
        <v>367</v>
      </c>
      <c r="D18" s="8" t="s">
        <v>329</v>
      </c>
      <c r="E18" s="8" t="s">
        <v>368</v>
      </c>
      <c r="F18" s="18" t="s">
        <v>330</v>
      </c>
    </row>
    <row r="19" customFormat="false" ht="23.85" hidden="false" customHeight="false" outlineLevel="0" collapsed="false">
      <c r="A19" s="11" t="s">
        <v>357</v>
      </c>
      <c r="B19" s="8" t="s">
        <v>369</v>
      </c>
      <c r="C19" s="8" t="s">
        <v>370</v>
      </c>
      <c r="D19" s="8" t="s">
        <v>371</v>
      </c>
      <c r="E19" s="8" t="s">
        <v>372</v>
      </c>
      <c r="F19" s="18" t="s">
        <v>330</v>
      </c>
    </row>
    <row r="20" customFormat="false" ht="23.85" hidden="false" customHeight="false" outlineLevel="0" collapsed="false">
      <c r="A20" s="11" t="s">
        <v>357</v>
      </c>
      <c r="B20" s="8" t="s">
        <v>373</v>
      </c>
      <c r="C20" s="8" t="s">
        <v>374</v>
      </c>
      <c r="D20" s="8" t="s">
        <v>351</v>
      </c>
      <c r="E20" s="8" t="s">
        <v>375</v>
      </c>
      <c r="F20" s="18" t="s">
        <v>330</v>
      </c>
    </row>
    <row r="21" customFormat="false" ht="15" hidden="false" customHeight="false" outlineLevel="0" collapsed="false">
      <c r="A21" s="11" t="s">
        <v>357</v>
      </c>
      <c r="B21" s="8" t="s">
        <v>376</v>
      </c>
      <c r="C21" s="8" t="s">
        <v>377</v>
      </c>
      <c r="D21" s="8" t="s">
        <v>351</v>
      </c>
      <c r="E21" s="8" t="s">
        <v>378</v>
      </c>
      <c r="F21" s="18" t="s">
        <v>379</v>
      </c>
    </row>
    <row r="22" customFormat="false" ht="23.85" hidden="false" customHeight="false" outlineLevel="0" collapsed="false">
      <c r="A22" s="12" t="s">
        <v>380</v>
      </c>
      <c r="B22" s="8" t="s">
        <v>381</v>
      </c>
      <c r="C22" s="8" t="s">
        <v>382</v>
      </c>
      <c r="D22" s="8" t="s">
        <v>371</v>
      </c>
      <c r="E22" s="8" t="s">
        <v>383</v>
      </c>
      <c r="F22" s="18" t="s">
        <v>379</v>
      </c>
    </row>
    <row r="23" customFormat="false" ht="15" hidden="false" customHeight="false" outlineLevel="0" collapsed="false">
      <c r="A23" s="12" t="s">
        <v>380</v>
      </c>
      <c r="B23" s="8" t="s">
        <v>384</v>
      </c>
      <c r="C23" s="8" t="s">
        <v>385</v>
      </c>
      <c r="D23" s="8" t="s">
        <v>351</v>
      </c>
      <c r="E23" s="8" t="s">
        <v>383</v>
      </c>
      <c r="F23" s="18" t="s">
        <v>379</v>
      </c>
    </row>
    <row r="24" customFormat="false" ht="15" hidden="false" customHeight="false" outlineLevel="0" collapsed="false">
      <c r="A24" s="12" t="s">
        <v>380</v>
      </c>
      <c r="B24" s="8" t="s">
        <v>386</v>
      </c>
      <c r="C24" s="8" t="s">
        <v>387</v>
      </c>
      <c r="D24" s="8" t="s">
        <v>371</v>
      </c>
      <c r="E24" s="8" t="s">
        <v>388</v>
      </c>
      <c r="F24" s="18" t="s">
        <v>379</v>
      </c>
    </row>
    <row r="25" customFormat="false" ht="23.85" hidden="false" customHeight="false" outlineLevel="0" collapsed="false">
      <c r="A25" s="12" t="s">
        <v>380</v>
      </c>
      <c r="B25" s="8" t="s">
        <v>389</v>
      </c>
      <c r="C25" s="8" t="s">
        <v>390</v>
      </c>
      <c r="D25" s="8" t="s">
        <v>371</v>
      </c>
      <c r="E25" s="8" t="s">
        <v>378</v>
      </c>
      <c r="F25" s="18" t="s">
        <v>379</v>
      </c>
    </row>
    <row r="26" customFormat="false" ht="15" hidden="false" customHeight="false" outlineLevel="0" collapsed="false">
      <c r="A26" s="12" t="s">
        <v>380</v>
      </c>
      <c r="B26" s="8" t="s">
        <v>391</v>
      </c>
      <c r="C26" s="8" t="s">
        <v>392</v>
      </c>
      <c r="D26" s="8" t="s">
        <v>371</v>
      </c>
      <c r="E26" s="8" t="s">
        <v>339</v>
      </c>
      <c r="F26" s="18" t="s">
        <v>379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35"/>
  </cols>
  <sheetData>
    <row r="1" customFormat="false" ht="17.35" hidden="false" customHeight="false" outlineLevel="0" collapsed="false">
      <c r="A1" s="15" t="s">
        <v>393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16" t="s">
        <v>394</v>
      </c>
      <c r="B2" s="16"/>
      <c r="C2" s="16"/>
      <c r="D2" s="16"/>
      <c r="E2" s="16"/>
      <c r="F2" s="16"/>
    </row>
    <row r="4" customFormat="false" ht="30" hidden="false" customHeight="true" outlineLevel="0" collapsed="false">
      <c r="A4" s="6" t="s">
        <v>395</v>
      </c>
      <c r="B4" s="6" t="s">
        <v>396</v>
      </c>
      <c r="C4" s="6" t="s">
        <v>397</v>
      </c>
      <c r="D4" s="6" t="s">
        <v>398</v>
      </c>
      <c r="E4" s="6" t="s">
        <v>399</v>
      </c>
      <c r="F4" s="6" t="s">
        <v>13</v>
      </c>
    </row>
    <row r="5" customFormat="false" ht="30" hidden="false" customHeight="true" outlineLevel="0" collapsed="false">
      <c r="A5" s="19" t="s">
        <v>400</v>
      </c>
      <c r="B5" s="19" t="s">
        <v>401</v>
      </c>
      <c r="C5" s="20" t="n">
        <v>6.99</v>
      </c>
      <c r="D5" s="20" t="n">
        <f aca="false">C5*0.3</f>
        <v>2.097</v>
      </c>
      <c r="E5" s="20" t="n">
        <f aca="false">C5-D5</f>
        <v>4.893</v>
      </c>
      <c r="F5" s="8" t="s">
        <v>402</v>
      </c>
    </row>
    <row r="6" customFormat="false" ht="30" hidden="false" customHeight="true" outlineLevel="0" collapsed="false">
      <c r="A6" s="19" t="s">
        <v>403</v>
      </c>
      <c r="B6" s="19" t="s">
        <v>404</v>
      </c>
      <c r="C6" s="20" t="n">
        <v>5.99</v>
      </c>
      <c r="D6" s="20" t="n">
        <f aca="false">C6*0.3</f>
        <v>1.797</v>
      </c>
      <c r="E6" s="20" t="n">
        <f aca="false">C6-D6</f>
        <v>4.193</v>
      </c>
      <c r="F6" s="8" t="s">
        <v>405</v>
      </c>
    </row>
    <row r="7" customFormat="false" ht="30" hidden="false" customHeight="true" outlineLevel="0" collapsed="false">
      <c r="A7" s="19" t="s">
        <v>406</v>
      </c>
      <c r="B7" s="19" t="s">
        <v>407</v>
      </c>
      <c r="C7" s="20" t="n">
        <v>4.99</v>
      </c>
      <c r="D7" s="20" t="n">
        <f aca="false">C7*0.3</f>
        <v>1.497</v>
      </c>
      <c r="E7" s="20" t="n">
        <f aca="false">C7-D7</f>
        <v>3.493</v>
      </c>
      <c r="F7" s="8" t="s">
        <v>408</v>
      </c>
    </row>
    <row r="8" customFormat="false" ht="30" hidden="false" customHeight="true" outlineLevel="0" collapsed="false">
      <c r="A8" s="19" t="s">
        <v>409</v>
      </c>
      <c r="B8" s="19" t="s">
        <v>410</v>
      </c>
      <c r="C8" s="20" t="n">
        <v>12.99</v>
      </c>
      <c r="D8" s="20" t="n">
        <f aca="false">C8*0.3</f>
        <v>3.897</v>
      </c>
      <c r="E8" s="20" t="n">
        <f aca="false">C8-D8</f>
        <v>9.093</v>
      </c>
      <c r="F8" s="8" t="s">
        <v>411</v>
      </c>
    </row>
    <row r="9" customFormat="false" ht="30" hidden="false" customHeight="true" outlineLevel="0" collapsed="false">
      <c r="A9" s="19" t="s">
        <v>412</v>
      </c>
      <c r="B9" s="19" t="s">
        <v>413</v>
      </c>
      <c r="C9" s="20" t="n">
        <v>13.99</v>
      </c>
      <c r="D9" s="20" t="n">
        <f aca="false">C9*0.3</f>
        <v>4.197</v>
      </c>
      <c r="E9" s="20" t="n">
        <f aca="false">C9-D9</f>
        <v>9.793</v>
      </c>
      <c r="F9" s="8" t="s">
        <v>414</v>
      </c>
    </row>
    <row r="10" customFormat="false" ht="30" hidden="false" customHeight="true" outlineLevel="0" collapsed="false">
      <c r="A10" s="19" t="s">
        <v>415</v>
      </c>
      <c r="B10" s="19" t="s">
        <v>416</v>
      </c>
      <c r="C10" s="19" t="s">
        <v>417</v>
      </c>
      <c r="D10" s="21" t="s">
        <v>56</v>
      </c>
      <c r="E10" s="21" t="s">
        <v>56</v>
      </c>
      <c r="F10" s="8" t="s">
        <v>418</v>
      </c>
    </row>
    <row r="11" customFormat="false" ht="30" hidden="false" customHeight="true" outlineLevel="0" collapsed="false">
      <c r="A11" s="19" t="s">
        <v>419</v>
      </c>
      <c r="B11" s="19" t="s">
        <v>420</v>
      </c>
      <c r="C11" s="19" t="s">
        <v>421</v>
      </c>
      <c r="D11" s="21" t="s">
        <v>56</v>
      </c>
      <c r="E11" s="21" t="s">
        <v>56</v>
      </c>
      <c r="F11" s="8" t="s">
        <v>422</v>
      </c>
    </row>
    <row r="12" customFormat="false" ht="30" hidden="false" customHeight="true" outlineLevel="0" collapsed="false">
      <c r="A12" s="19" t="s">
        <v>423</v>
      </c>
      <c r="B12" s="19" t="s">
        <v>424</v>
      </c>
      <c r="C12" s="19" t="s">
        <v>425</v>
      </c>
      <c r="D12" s="21" t="s">
        <v>56</v>
      </c>
      <c r="E12" s="21" t="s">
        <v>56</v>
      </c>
      <c r="F12" s="8" t="s">
        <v>426</v>
      </c>
    </row>
    <row r="13" customFormat="false" ht="30" hidden="false" customHeight="true" outlineLevel="0" collapsed="false">
      <c r="A13" s="19" t="s">
        <v>427</v>
      </c>
      <c r="B13" s="19" t="s">
        <v>428</v>
      </c>
      <c r="C13" s="20" t="n">
        <v>7.99</v>
      </c>
      <c r="D13" s="20" t="n">
        <f aca="false">C13*0.3</f>
        <v>2.397</v>
      </c>
      <c r="E13" s="20" t="n">
        <f aca="false">C13-D13</f>
        <v>5.593</v>
      </c>
      <c r="F13" s="8" t="s">
        <v>429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50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5" t="s">
        <v>430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16" t="s">
        <v>431</v>
      </c>
      <c r="B2" s="16"/>
      <c r="C2" s="16"/>
      <c r="D2" s="16"/>
      <c r="E2" s="16"/>
      <c r="F2" s="16"/>
    </row>
    <row r="4" customFormat="false" ht="30" hidden="false" customHeight="true" outlineLevel="0" collapsed="false">
      <c r="A4" s="6" t="s">
        <v>432</v>
      </c>
      <c r="B4" s="6" t="s">
        <v>433</v>
      </c>
      <c r="C4" s="6" t="s">
        <v>434</v>
      </c>
      <c r="D4" s="6" t="s">
        <v>435</v>
      </c>
      <c r="E4" s="6" t="s">
        <v>436</v>
      </c>
      <c r="F4" s="6" t="s">
        <v>437</v>
      </c>
    </row>
    <row r="5" customFormat="false" ht="69.75" hidden="false" customHeight="true" outlineLevel="0" collapsed="false">
      <c r="A5" s="8" t="s">
        <v>438</v>
      </c>
      <c r="B5" s="8" t="s">
        <v>439</v>
      </c>
      <c r="C5" s="8" t="s">
        <v>440</v>
      </c>
      <c r="D5" s="8" t="s">
        <v>441</v>
      </c>
      <c r="E5" s="8" t="s">
        <v>442</v>
      </c>
      <c r="F5" s="8" t="s">
        <v>443</v>
      </c>
    </row>
    <row r="6" customFormat="false" ht="69.75" hidden="false" customHeight="true" outlineLevel="0" collapsed="false">
      <c r="A6" s="8" t="s">
        <v>444</v>
      </c>
      <c r="B6" s="8" t="s">
        <v>445</v>
      </c>
      <c r="C6" s="8" t="s">
        <v>446</v>
      </c>
      <c r="D6" s="8" t="s">
        <v>447</v>
      </c>
      <c r="E6" s="8" t="s">
        <v>448</v>
      </c>
      <c r="F6" s="8" t="s">
        <v>449</v>
      </c>
    </row>
    <row r="7" customFormat="false" ht="69.75" hidden="false" customHeight="true" outlineLevel="0" collapsed="false">
      <c r="A7" s="8" t="s">
        <v>450</v>
      </c>
      <c r="B7" s="8" t="s">
        <v>451</v>
      </c>
      <c r="C7" s="8" t="s">
        <v>452</v>
      </c>
      <c r="D7" s="8" t="s">
        <v>453</v>
      </c>
      <c r="E7" s="8" t="s">
        <v>454</v>
      </c>
      <c r="F7" s="8" t="s">
        <v>455</v>
      </c>
    </row>
    <row r="8" customFormat="false" ht="69.75" hidden="false" customHeight="true" outlineLevel="0" collapsed="false">
      <c r="A8" s="8" t="s">
        <v>456</v>
      </c>
      <c r="B8" s="8" t="s">
        <v>457</v>
      </c>
      <c r="C8" s="8" t="s">
        <v>458</v>
      </c>
      <c r="D8" s="8" t="s">
        <v>459</v>
      </c>
      <c r="E8" s="8" t="s">
        <v>442</v>
      </c>
      <c r="F8" s="8" t="s">
        <v>449</v>
      </c>
    </row>
    <row r="9" customFormat="false" ht="69.75" hidden="false" customHeight="true" outlineLevel="0" collapsed="false">
      <c r="A9" s="8" t="s">
        <v>460</v>
      </c>
      <c r="B9" s="8" t="s">
        <v>461</v>
      </c>
      <c r="C9" s="8" t="s">
        <v>462</v>
      </c>
      <c r="D9" s="8" t="s">
        <v>442</v>
      </c>
      <c r="E9" s="8" t="s">
        <v>442</v>
      </c>
      <c r="F9" s="8" t="s">
        <v>463</v>
      </c>
    </row>
    <row r="10" customFormat="false" ht="69.75" hidden="false" customHeight="true" outlineLevel="0" collapsed="false">
      <c r="A10" s="8" t="s">
        <v>464</v>
      </c>
      <c r="B10" s="8" t="s">
        <v>465</v>
      </c>
      <c r="C10" s="8" t="s">
        <v>466</v>
      </c>
      <c r="D10" s="8" t="s">
        <v>442</v>
      </c>
      <c r="E10" s="8" t="s">
        <v>442</v>
      </c>
      <c r="F10" s="8" t="s">
        <v>467</v>
      </c>
    </row>
    <row r="11" customFormat="false" ht="69.75" hidden="false" customHeight="true" outlineLevel="0" collapsed="false">
      <c r="A11" s="8" t="s">
        <v>468</v>
      </c>
      <c r="B11" s="8" t="s">
        <v>469</v>
      </c>
      <c r="C11" s="8" t="s">
        <v>470</v>
      </c>
      <c r="D11" s="8" t="s">
        <v>442</v>
      </c>
      <c r="E11" s="8" t="s">
        <v>442</v>
      </c>
      <c r="F11" s="8" t="s">
        <v>443</v>
      </c>
    </row>
    <row r="12" customFormat="false" ht="69.75" hidden="false" customHeight="true" outlineLevel="0" collapsed="false">
      <c r="A12" s="8" t="s">
        <v>471</v>
      </c>
      <c r="B12" s="8" t="s">
        <v>472</v>
      </c>
      <c r="C12" s="8" t="s">
        <v>473</v>
      </c>
      <c r="D12" s="8" t="s">
        <v>474</v>
      </c>
      <c r="E12" s="8" t="s">
        <v>475</v>
      </c>
      <c r="F12" s="8" t="s">
        <v>476</v>
      </c>
    </row>
    <row r="13" customFormat="false" ht="69.75" hidden="false" customHeight="true" outlineLevel="0" collapsed="false">
      <c r="A13" s="8" t="s">
        <v>477</v>
      </c>
      <c r="B13" s="8" t="s">
        <v>478</v>
      </c>
      <c r="C13" s="8" t="s">
        <v>479</v>
      </c>
      <c r="D13" s="8" t="s">
        <v>480</v>
      </c>
      <c r="E13" s="8" t="s">
        <v>481</v>
      </c>
      <c r="F13" s="8" t="s">
        <v>482</v>
      </c>
    </row>
    <row r="14" customFormat="false" ht="69.75" hidden="false" customHeight="true" outlineLevel="0" collapsed="false">
      <c r="A14" s="8" t="s">
        <v>483</v>
      </c>
      <c r="B14" s="8" t="s">
        <v>484</v>
      </c>
      <c r="C14" s="8" t="s">
        <v>485</v>
      </c>
      <c r="D14" s="8" t="s">
        <v>486</v>
      </c>
      <c r="E14" s="8" t="s">
        <v>487</v>
      </c>
      <c r="F14" s="8" t="s">
        <v>467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8" min="5" style="0" width="14"/>
  </cols>
  <sheetData>
    <row r="1" customFormat="false" ht="17.35" hidden="false" customHeight="false" outlineLevel="0" collapsed="false">
      <c r="A1" s="15" t="s">
        <v>488</v>
      </c>
      <c r="B1" s="15"/>
      <c r="C1" s="15"/>
      <c r="D1" s="15"/>
      <c r="E1" s="15"/>
      <c r="F1" s="15"/>
      <c r="G1" s="15"/>
      <c r="H1" s="15"/>
    </row>
    <row r="2" customFormat="false" ht="15" hidden="false" customHeight="false" outlineLevel="0" collapsed="false">
      <c r="A2" s="16" t="s">
        <v>489</v>
      </c>
      <c r="B2" s="16"/>
      <c r="C2" s="16"/>
      <c r="D2" s="16"/>
      <c r="E2" s="16"/>
      <c r="F2" s="16"/>
      <c r="G2" s="16"/>
      <c r="H2" s="16"/>
    </row>
    <row r="4" customFormat="false" ht="15" hidden="false" customHeight="false" outlineLevel="0" collapsed="false">
      <c r="A4" s="22" t="s">
        <v>490</v>
      </c>
      <c r="B4" s="22"/>
      <c r="C4" s="22"/>
      <c r="D4" s="22"/>
    </row>
    <row r="5" customFormat="false" ht="15" hidden="false" customHeight="false" outlineLevel="0" collapsed="false">
      <c r="A5" s="23" t="s">
        <v>491</v>
      </c>
      <c r="B5" s="24" t="n">
        <v>0.06</v>
      </c>
    </row>
    <row r="6" customFormat="false" ht="15" hidden="false" customHeight="false" outlineLevel="0" collapsed="false">
      <c r="A6" s="23" t="s">
        <v>492</v>
      </c>
      <c r="B6" s="24" t="n">
        <v>0.3</v>
      </c>
    </row>
    <row r="7" customFormat="false" ht="15" hidden="false" customHeight="false" outlineLevel="0" collapsed="false">
      <c r="A7" s="23" t="s">
        <v>493</v>
      </c>
      <c r="B7" s="24" t="n">
        <v>0.03</v>
      </c>
    </row>
    <row r="9" customFormat="false" ht="15" hidden="false" customHeight="false" outlineLevel="0" collapsed="false">
      <c r="A9" s="22" t="s">
        <v>494</v>
      </c>
      <c r="B9" s="22"/>
      <c r="C9" s="22"/>
      <c r="D9" s="22"/>
      <c r="E9" s="22"/>
      <c r="F9" s="22"/>
      <c r="G9" s="22"/>
      <c r="H9" s="22"/>
    </row>
    <row r="10" customFormat="false" ht="30" hidden="false" customHeight="true" outlineLevel="0" collapsed="false">
      <c r="A10" s="6" t="s">
        <v>38</v>
      </c>
      <c r="B10" s="6" t="s">
        <v>39</v>
      </c>
      <c r="C10" s="6" t="s">
        <v>48</v>
      </c>
      <c r="D10" s="6" t="s">
        <v>397</v>
      </c>
      <c r="E10" s="6" t="s">
        <v>495</v>
      </c>
      <c r="F10" s="6" t="s">
        <v>496</v>
      </c>
      <c r="G10" s="6" t="s">
        <v>497</v>
      </c>
      <c r="H10" s="6" t="s">
        <v>498</v>
      </c>
    </row>
    <row r="11" customFormat="false" ht="15" hidden="false" customHeight="false" outlineLevel="0" collapsed="false">
      <c r="A11" s="25" t="n">
        <v>1</v>
      </c>
      <c r="B11" s="26" t="s">
        <v>52</v>
      </c>
      <c r="C11" s="25" t="s">
        <v>59</v>
      </c>
      <c r="D11" s="27" t="n">
        <v>6.99</v>
      </c>
      <c r="E11" s="28" t="n">
        <v>25000</v>
      </c>
      <c r="F11" s="29" t="n">
        <f aca="false">E11*$B$5*(1-$B$7)</f>
        <v>1455</v>
      </c>
      <c r="G11" s="30" t="n">
        <f aca="false">F11*D11</f>
        <v>10170.45</v>
      </c>
      <c r="H11" s="30" t="n">
        <f aca="false">G11*(1-$B$6)</f>
        <v>7119.315</v>
      </c>
    </row>
    <row r="12" customFormat="false" ht="15" hidden="false" customHeight="false" outlineLevel="0" collapsed="false">
      <c r="A12" s="25" t="n">
        <v>2</v>
      </c>
      <c r="B12" s="26" t="s">
        <v>61</v>
      </c>
      <c r="C12" s="25" t="s">
        <v>59</v>
      </c>
      <c r="D12" s="27" t="n">
        <v>6.99</v>
      </c>
      <c r="E12" s="28" t="n">
        <v>25000</v>
      </c>
      <c r="F12" s="29" t="n">
        <f aca="false">E12*$B$5*(1-$B$7)</f>
        <v>1455</v>
      </c>
      <c r="G12" s="30" t="n">
        <f aca="false">F12*D12</f>
        <v>10170.45</v>
      </c>
      <c r="H12" s="30" t="n">
        <f aca="false">G12*(1-$B$6)</f>
        <v>7119.315</v>
      </c>
    </row>
    <row r="13" customFormat="false" ht="15" hidden="false" customHeight="false" outlineLevel="0" collapsed="false">
      <c r="A13" s="25" t="n">
        <v>3</v>
      </c>
      <c r="B13" s="26" t="s">
        <v>67</v>
      </c>
      <c r="C13" s="25" t="s">
        <v>59</v>
      </c>
      <c r="D13" s="27" t="n">
        <v>6.99</v>
      </c>
      <c r="E13" s="28" t="n">
        <v>25000</v>
      </c>
      <c r="F13" s="29" t="n">
        <f aca="false">E13*$B$5*(1-$B$7)</f>
        <v>1455</v>
      </c>
      <c r="G13" s="30" t="n">
        <f aca="false">F13*D13</f>
        <v>10170.45</v>
      </c>
      <c r="H13" s="30" t="n">
        <f aca="false">G13*(1-$B$6)</f>
        <v>7119.315</v>
      </c>
    </row>
    <row r="14" customFormat="false" ht="15" hidden="false" customHeight="false" outlineLevel="0" collapsed="false">
      <c r="A14" s="25" t="n">
        <v>4</v>
      </c>
      <c r="B14" s="26" t="s">
        <v>72</v>
      </c>
      <c r="C14" s="25" t="s">
        <v>59</v>
      </c>
      <c r="D14" s="27" t="n">
        <v>6.99</v>
      </c>
      <c r="E14" s="28" t="n">
        <v>25000</v>
      </c>
      <c r="F14" s="29" t="n">
        <f aca="false">E14*$B$5*(1-$B$7)</f>
        <v>1455</v>
      </c>
      <c r="G14" s="30" t="n">
        <f aca="false">F14*D14</f>
        <v>10170.45</v>
      </c>
      <c r="H14" s="30" t="n">
        <f aca="false">G14*(1-$B$6)</f>
        <v>7119.315</v>
      </c>
    </row>
    <row r="15" customFormat="false" ht="15" hidden="false" customHeight="false" outlineLevel="0" collapsed="false">
      <c r="A15" s="25" t="n">
        <v>5</v>
      </c>
      <c r="B15" s="26" t="s">
        <v>77</v>
      </c>
      <c r="C15" s="25" t="s">
        <v>82</v>
      </c>
      <c r="D15" s="27" t="n">
        <v>5.99</v>
      </c>
      <c r="E15" s="28" t="n">
        <v>8000</v>
      </c>
      <c r="F15" s="29" t="n">
        <f aca="false">E15*$B$5*(1-$B$7)</f>
        <v>465.6</v>
      </c>
      <c r="G15" s="30" t="n">
        <f aca="false">F15*D15</f>
        <v>2788.944</v>
      </c>
      <c r="H15" s="30" t="n">
        <f aca="false">G15*(1-$B$6)</f>
        <v>1952.2608</v>
      </c>
    </row>
    <row r="16" customFormat="false" ht="15" hidden="false" customHeight="false" outlineLevel="0" collapsed="false">
      <c r="A16" s="25" t="n">
        <v>6</v>
      </c>
      <c r="B16" s="26" t="s">
        <v>84</v>
      </c>
      <c r="C16" s="25" t="s">
        <v>82</v>
      </c>
      <c r="D16" s="27" t="n">
        <v>5.99</v>
      </c>
      <c r="E16" s="28" t="n">
        <v>8000</v>
      </c>
      <c r="F16" s="29" t="n">
        <f aca="false">E16*$B$5*(1-$B$7)</f>
        <v>465.6</v>
      </c>
      <c r="G16" s="30" t="n">
        <f aca="false">F16*D16</f>
        <v>2788.944</v>
      </c>
      <c r="H16" s="30" t="n">
        <f aca="false">G16*(1-$B$6)</f>
        <v>1952.2608</v>
      </c>
    </row>
    <row r="17" customFormat="false" ht="15" hidden="false" customHeight="false" outlineLevel="0" collapsed="false">
      <c r="A17" s="25" t="n">
        <v>7</v>
      </c>
      <c r="B17" s="26" t="s">
        <v>89</v>
      </c>
      <c r="C17" s="25" t="s">
        <v>82</v>
      </c>
      <c r="D17" s="27" t="n">
        <v>5.99</v>
      </c>
      <c r="E17" s="28" t="n">
        <v>8000</v>
      </c>
      <c r="F17" s="29" t="n">
        <f aca="false">E17*$B$5*(1-$B$7)</f>
        <v>465.6</v>
      </c>
      <c r="G17" s="30" t="n">
        <f aca="false">F17*D17</f>
        <v>2788.944</v>
      </c>
      <c r="H17" s="30" t="n">
        <f aca="false">G17*(1-$B$6)</f>
        <v>1952.2608</v>
      </c>
    </row>
    <row r="18" customFormat="false" ht="15" hidden="false" customHeight="false" outlineLevel="0" collapsed="false">
      <c r="A18" s="25" t="n">
        <v>8</v>
      </c>
      <c r="B18" s="26" t="s">
        <v>95</v>
      </c>
      <c r="C18" s="25" t="s">
        <v>82</v>
      </c>
      <c r="D18" s="27" t="n">
        <v>5.99</v>
      </c>
      <c r="E18" s="28" t="n">
        <v>8000</v>
      </c>
      <c r="F18" s="29" t="n">
        <f aca="false">E18*$B$5*(1-$B$7)</f>
        <v>465.6</v>
      </c>
      <c r="G18" s="30" t="n">
        <f aca="false">F18*D18</f>
        <v>2788.944</v>
      </c>
      <c r="H18" s="30" t="n">
        <f aca="false">G18*(1-$B$6)</f>
        <v>1952.2608</v>
      </c>
    </row>
    <row r="19" customFormat="false" ht="15" hidden="false" customHeight="false" outlineLevel="0" collapsed="false">
      <c r="A19" s="25" t="n">
        <v>9</v>
      </c>
      <c r="B19" s="26" t="s">
        <v>100</v>
      </c>
      <c r="C19" s="25" t="s">
        <v>82</v>
      </c>
      <c r="D19" s="27" t="n">
        <v>5.99</v>
      </c>
      <c r="E19" s="28" t="n">
        <v>8000</v>
      </c>
      <c r="F19" s="29" t="n">
        <f aca="false">E19*$B$5*(1-$B$7)</f>
        <v>465.6</v>
      </c>
      <c r="G19" s="30" t="n">
        <f aca="false">F19*D19</f>
        <v>2788.944</v>
      </c>
      <c r="H19" s="30" t="n">
        <f aca="false">G19*(1-$B$6)</f>
        <v>1952.2608</v>
      </c>
    </row>
    <row r="20" customFormat="false" ht="15" hidden="false" customHeight="false" outlineLevel="0" collapsed="false">
      <c r="A20" s="25" t="n">
        <v>10</v>
      </c>
      <c r="B20" s="26" t="s">
        <v>104</v>
      </c>
      <c r="C20" s="25" t="s">
        <v>82</v>
      </c>
      <c r="D20" s="27" t="n">
        <v>5.99</v>
      </c>
      <c r="E20" s="28" t="n">
        <v>8000</v>
      </c>
      <c r="F20" s="29" t="n">
        <f aca="false">E20*$B$5*(1-$B$7)</f>
        <v>465.6</v>
      </c>
      <c r="G20" s="30" t="n">
        <f aca="false">F20*D20</f>
        <v>2788.944</v>
      </c>
      <c r="H20" s="30" t="n">
        <f aca="false">G20*(1-$B$6)</f>
        <v>1952.2608</v>
      </c>
    </row>
    <row r="21" customFormat="false" ht="15" hidden="false" customHeight="false" outlineLevel="0" collapsed="false">
      <c r="A21" s="25" t="n">
        <v>11</v>
      </c>
      <c r="B21" s="26" t="s">
        <v>109</v>
      </c>
      <c r="C21" s="25" t="s">
        <v>82</v>
      </c>
      <c r="D21" s="27" t="n">
        <v>5.99</v>
      </c>
      <c r="E21" s="28" t="n">
        <v>8000</v>
      </c>
      <c r="F21" s="29" t="n">
        <f aca="false">E21*$B$5*(1-$B$7)</f>
        <v>465.6</v>
      </c>
      <c r="G21" s="30" t="n">
        <f aca="false">F21*D21</f>
        <v>2788.944</v>
      </c>
      <c r="H21" s="30" t="n">
        <f aca="false">G21*(1-$B$6)</f>
        <v>1952.2608</v>
      </c>
    </row>
    <row r="22" customFormat="false" ht="15" hidden="false" customHeight="false" outlineLevel="0" collapsed="false">
      <c r="A22" s="25" t="n">
        <v>12</v>
      </c>
      <c r="B22" s="26" t="s">
        <v>114</v>
      </c>
      <c r="C22" s="25" t="s">
        <v>82</v>
      </c>
      <c r="D22" s="27" t="n">
        <v>5.99</v>
      </c>
      <c r="E22" s="28" t="n">
        <v>8000</v>
      </c>
      <c r="F22" s="29" t="n">
        <f aca="false">E22*$B$5*(1-$B$7)</f>
        <v>465.6</v>
      </c>
      <c r="G22" s="30" t="n">
        <f aca="false">F22*D22</f>
        <v>2788.944</v>
      </c>
      <c r="H22" s="30" t="n">
        <f aca="false">G22*(1-$B$6)</f>
        <v>1952.2608</v>
      </c>
    </row>
    <row r="23" customFormat="false" ht="15" hidden="false" customHeight="false" outlineLevel="0" collapsed="false">
      <c r="A23" s="25" t="n">
        <v>13</v>
      </c>
      <c r="B23" s="26" t="s">
        <v>118</v>
      </c>
      <c r="C23" s="25" t="s">
        <v>82</v>
      </c>
      <c r="D23" s="27" t="n">
        <v>5.99</v>
      </c>
      <c r="E23" s="28" t="n">
        <v>8000</v>
      </c>
      <c r="F23" s="29" t="n">
        <f aca="false">E23*$B$5*(1-$B$7)</f>
        <v>465.6</v>
      </c>
      <c r="G23" s="30" t="n">
        <f aca="false">F23*D23</f>
        <v>2788.944</v>
      </c>
      <c r="H23" s="30" t="n">
        <f aca="false">G23*(1-$B$6)</f>
        <v>1952.2608</v>
      </c>
    </row>
    <row r="24" customFormat="false" ht="15" hidden="false" customHeight="false" outlineLevel="0" collapsed="false">
      <c r="A24" s="25" t="n">
        <v>14</v>
      </c>
      <c r="B24" s="26" t="s">
        <v>123</v>
      </c>
      <c r="C24" s="25" t="s">
        <v>82</v>
      </c>
      <c r="D24" s="27" t="n">
        <v>5.99</v>
      </c>
      <c r="E24" s="28" t="n">
        <v>8000</v>
      </c>
      <c r="F24" s="29" t="n">
        <f aca="false">E24*$B$5*(1-$B$7)</f>
        <v>465.6</v>
      </c>
      <c r="G24" s="30" t="n">
        <f aca="false">F24*D24</f>
        <v>2788.944</v>
      </c>
      <c r="H24" s="30" t="n">
        <f aca="false">G24*(1-$B$6)</f>
        <v>1952.2608</v>
      </c>
    </row>
    <row r="25" customFormat="false" ht="15" hidden="false" customHeight="false" outlineLevel="0" collapsed="false">
      <c r="A25" s="25" t="n">
        <v>15</v>
      </c>
      <c r="B25" s="26" t="s">
        <v>127</v>
      </c>
      <c r="C25" s="25" t="s">
        <v>82</v>
      </c>
      <c r="D25" s="27" t="n">
        <v>5.99</v>
      </c>
      <c r="E25" s="28" t="n">
        <v>8000</v>
      </c>
      <c r="F25" s="29" t="n">
        <f aca="false">E25*$B$5*(1-$B$7)</f>
        <v>465.6</v>
      </c>
      <c r="G25" s="30" t="n">
        <f aca="false">F25*D25</f>
        <v>2788.944</v>
      </c>
      <c r="H25" s="30" t="n">
        <f aca="false">G25*(1-$B$6)</f>
        <v>1952.2608</v>
      </c>
    </row>
    <row r="26" customFormat="false" ht="15" hidden="false" customHeight="false" outlineLevel="0" collapsed="false">
      <c r="A26" s="25" t="n">
        <v>16</v>
      </c>
      <c r="B26" s="26" t="s">
        <v>133</v>
      </c>
      <c r="C26" s="25" t="s">
        <v>82</v>
      </c>
      <c r="D26" s="27" t="n">
        <v>5.99</v>
      </c>
      <c r="E26" s="28" t="n">
        <v>8000</v>
      </c>
      <c r="F26" s="29" t="n">
        <f aca="false">E26*$B$5*(1-$B$7)</f>
        <v>465.6</v>
      </c>
      <c r="G26" s="30" t="n">
        <f aca="false">F26*D26</f>
        <v>2788.944</v>
      </c>
      <c r="H26" s="30" t="n">
        <f aca="false">G26*(1-$B$6)</f>
        <v>1952.2608</v>
      </c>
    </row>
    <row r="27" customFormat="false" ht="15" hidden="false" customHeight="false" outlineLevel="0" collapsed="false">
      <c r="A27" s="25" t="n">
        <v>17</v>
      </c>
      <c r="B27" s="26" t="s">
        <v>137</v>
      </c>
      <c r="C27" s="25" t="s">
        <v>82</v>
      </c>
      <c r="D27" s="27" t="n">
        <v>5.99</v>
      </c>
      <c r="E27" s="28" t="n">
        <v>8000</v>
      </c>
      <c r="F27" s="29" t="n">
        <f aca="false">E27*$B$5*(1-$B$7)</f>
        <v>465.6</v>
      </c>
      <c r="G27" s="30" t="n">
        <f aca="false">F27*D27</f>
        <v>2788.944</v>
      </c>
      <c r="H27" s="30" t="n">
        <f aca="false">G27*(1-$B$6)</f>
        <v>1952.2608</v>
      </c>
    </row>
    <row r="28" customFormat="false" ht="15" hidden="false" customHeight="false" outlineLevel="0" collapsed="false">
      <c r="A28" s="25" t="n">
        <v>18</v>
      </c>
      <c r="B28" s="26" t="s">
        <v>142</v>
      </c>
      <c r="C28" s="25" t="s">
        <v>82</v>
      </c>
      <c r="D28" s="27" t="n">
        <v>5.99</v>
      </c>
      <c r="E28" s="28" t="n">
        <v>8000</v>
      </c>
      <c r="F28" s="29" t="n">
        <f aca="false">E28*$B$5*(1-$B$7)</f>
        <v>465.6</v>
      </c>
      <c r="G28" s="30" t="n">
        <f aca="false">F28*D28</f>
        <v>2788.944</v>
      </c>
      <c r="H28" s="30" t="n">
        <f aca="false">G28*(1-$B$6)</f>
        <v>1952.2608</v>
      </c>
    </row>
    <row r="29" customFormat="false" ht="15" hidden="false" customHeight="false" outlineLevel="0" collapsed="false">
      <c r="A29" s="25" t="n">
        <v>19</v>
      </c>
      <c r="B29" s="26" t="s">
        <v>146</v>
      </c>
      <c r="C29" s="25" t="s">
        <v>82</v>
      </c>
      <c r="D29" s="27" t="n">
        <v>5.99</v>
      </c>
      <c r="E29" s="28" t="n">
        <v>8000</v>
      </c>
      <c r="F29" s="29" t="n">
        <f aca="false">E29*$B$5*(1-$B$7)</f>
        <v>465.6</v>
      </c>
      <c r="G29" s="30" t="n">
        <f aca="false">F29*D29</f>
        <v>2788.944</v>
      </c>
      <c r="H29" s="30" t="n">
        <f aca="false">G29*(1-$B$6)</f>
        <v>1952.2608</v>
      </c>
    </row>
    <row r="30" customFormat="false" ht="15" hidden="false" customHeight="false" outlineLevel="0" collapsed="false">
      <c r="A30" s="25" t="n">
        <v>20</v>
      </c>
      <c r="B30" s="26" t="s">
        <v>152</v>
      </c>
      <c r="C30" s="25" t="s">
        <v>82</v>
      </c>
      <c r="D30" s="27" t="n">
        <v>5.99</v>
      </c>
      <c r="E30" s="28" t="n">
        <v>8000</v>
      </c>
      <c r="F30" s="29" t="n">
        <f aca="false">E30*$B$5*(1-$B$7)</f>
        <v>465.6</v>
      </c>
      <c r="G30" s="30" t="n">
        <f aca="false">F30*D30</f>
        <v>2788.944</v>
      </c>
      <c r="H30" s="30" t="n">
        <f aca="false">G30*(1-$B$6)</f>
        <v>1952.2608</v>
      </c>
    </row>
    <row r="31" customFormat="false" ht="15" hidden="false" customHeight="false" outlineLevel="0" collapsed="false">
      <c r="A31" s="25" t="n">
        <v>21</v>
      </c>
      <c r="B31" s="26" t="s">
        <v>156</v>
      </c>
      <c r="C31" s="25" t="s">
        <v>158</v>
      </c>
      <c r="D31" s="27" t="n">
        <v>4.99</v>
      </c>
      <c r="E31" s="28" t="n">
        <v>3000</v>
      </c>
      <c r="F31" s="29" t="n">
        <f aca="false">E31*$B$5*(1-$B$7)</f>
        <v>174.6</v>
      </c>
      <c r="G31" s="30" t="n">
        <f aca="false">F31*D31</f>
        <v>871.254</v>
      </c>
      <c r="H31" s="30" t="n">
        <f aca="false">G31*(1-$B$6)</f>
        <v>609.8778</v>
      </c>
    </row>
    <row r="32" customFormat="false" ht="15" hidden="false" customHeight="false" outlineLevel="0" collapsed="false">
      <c r="A32" s="25" t="n">
        <v>22</v>
      </c>
      <c r="B32" s="26" t="s">
        <v>160</v>
      </c>
      <c r="C32" s="25" t="s">
        <v>158</v>
      </c>
      <c r="D32" s="27" t="n">
        <v>4.99</v>
      </c>
      <c r="E32" s="28" t="n">
        <v>3000</v>
      </c>
      <c r="F32" s="29" t="n">
        <f aca="false">E32*$B$5*(1-$B$7)</f>
        <v>174.6</v>
      </c>
      <c r="G32" s="30" t="n">
        <f aca="false">F32*D32</f>
        <v>871.254</v>
      </c>
      <c r="H32" s="30" t="n">
        <f aca="false">G32*(1-$B$6)</f>
        <v>609.8778</v>
      </c>
    </row>
    <row r="33" customFormat="false" ht="15" hidden="false" customHeight="false" outlineLevel="0" collapsed="false">
      <c r="A33" s="25" t="n">
        <v>23</v>
      </c>
      <c r="B33" s="26" t="s">
        <v>165</v>
      </c>
      <c r="C33" s="25" t="s">
        <v>158</v>
      </c>
      <c r="D33" s="27" t="n">
        <v>4.99</v>
      </c>
      <c r="E33" s="28" t="n">
        <v>3000</v>
      </c>
      <c r="F33" s="29" t="n">
        <f aca="false">E33*$B$5*(1-$B$7)</f>
        <v>174.6</v>
      </c>
      <c r="G33" s="30" t="n">
        <f aca="false">F33*D33</f>
        <v>871.254</v>
      </c>
      <c r="H33" s="30" t="n">
        <f aca="false">G33*(1-$B$6)</f>
        <v>609.8778</v>
      </c>
    </row>
    <row r="34" customFormat="false" ht="15" hidden="false" customHeight="false" outlineLevel="0" collapsed="false">
      <c r="A34" s="25" t="n">
        <v>24</v>
      </c>
      <c r="B34" s="26" t="s">
        <v>168</v>
      </c>
      <c r="C34" s="25" t="s">
        <v>158</v>
      </c>
      <c r="D34" s="27" t="n">
        <v>4.99</v>
      </c>
      <c r="E34" s="28" t="n">
        <v>3000</v>
      </c>
      <c r="F34" s="29" t="n">
        <f aca="false">E34*$B$5*(1-$B$7)</f>
        <v>174.6</v>
      </c>
      <c r="G34" s="30" t="n">
        <f aca="false">F34*D34</f>
        <v>871.254</v>
      </c>
      <c r="H34" s="30" t="n">
        <f aca="false">G34*(1-$B$6)</f>
        <v>609.8778</v>
      </c>
    </row>
    <row r="35" customFormat="false" ht="15" hidden="false" customHeight="false" outlineLevel="0" collapsed="false">
      <c r="A35" s="25" t="n">
        <v>25</v>
      </c>
      <c r="B35" s="26" t="s">
        <v>172</v>
      </c>
      <c r="C35" s="25" t="s">
        <v>158</v>
      </c>
      <c r="D35" s="27" t="n">
        <v>4.99</v>
      </c>
      <c r="E35" s="28" t="n">
        <v>3000</v>
      </c>
      <c r="F35" s="29" t="n">
        <f aca="false">E35*$B$5*(1-$B$7)</f>
        <v>174.6</v>
      </c>
      <c r="G35" s="30" t="n">
        <f aca="false">F35*D35</f>
        <v>871.254</v>
      </c>
      <c r="H35" s="30" t="n">
        <f aca="false">G35*(1-$B$6)</f>
        <v>609.8778</v>
      </c>
    </row>
    <row r="36" customFormat="false" ht="15" hidden="false" customHeight="false" outlineLevel="0" collapsed="false">
      <c r="A36" s="25" t="n">
        <v>26</v>
      </c>
      <c r="B36" s="26" t="s">
        <v>177</v>
      </c>
      <c r="C36" s="25" t="s">
        <v>158</v>
      </c>
      <c r="D36" s="27" t="n">
        <v>4.99</v>
      </c>
      <c r="E36" s="28" t="n">
        <v>3000</v>
      </c>
      <c r="F36" s="29" t="n">
        <f aca="false">E36*$B$5*(1-$B$7)</f>
        <v>174.6</v>
      </c>
      <c r="G36" s="30" t="n">
        <f aca="false">F36*D36</f>
        <v>871.254</v>
      </c>
      <c r="H36" s="30" t="n">
        <f aca="false">G36*(1-$B$6)</f>
        <v>609.8778</v>
      </c>
    </row>
    <row r="37" customFormat="false" ht="15" hidden="false" customHeight="false" outlineLevel="0" collapsed="false">
      <c r="A37" s="25" t="n">
        <v>27</v>
      </c>
      <c r="B37" s="26" t="s">
        <v>180</v>
      </c>
      <c r="C37" s="25" t="s">
        <v>158</v>
      </c>
      <c r="D37" s="27" t="n">
        <v>4.99</v>
      </c>
      <c r="E37" s="28" t="n">
        <v>3000</v>
      </c>
      <c r="F37" s="29" t="n">
        <f aca="false">E37*$B$5*(1-$B$7)</f>
        <v>174.6</v>
      </c>
      <c r="G37" s="30" t="n">
        <f aca="false">F37*D37</f>
        <v>871.254</v>
      </c>
      <c r="H37" s="30" t="n">
        <f aca="false">G37*(1-$B$6)</f>
        <v>609.8778</v>
      </c>
    </row>
    <row r="38" customFormat="false" ht="15" hidden="false" customHeight="false" outlineLevel="0" collapsed="false">
      <c r="A38" s="25" t="n">
        <v>28</v>
      </c>
      <c r="B38" s="26" t="s">
        <v>184</v>
      </c>
      <c r="C38" s="25" t="s">
        <v>158</v>
      </c>
      <c r="D38" s="27" t="n">
        <v>4.99</v>
      </c>
      <c r="E38" s="28" t="n">
        <v>3000</v>
      </c>
      <c r="F38" s="29" t="n">
        <f aca="false">E38*$B$5*(1-$B$7)</f>
        <v>174.6</v>
      </c>
      <c r="G38" s="30" t="n">
        <f aca="false">F38*D38</f>
        <v>871.254</v>
      </c>
      <c r="H38" s="30" t="n">
        <f aca="false">G38*(1-$B$6)</f>
        <v>609.8778</v>
      </c>
    </row>
    <row r="39" customFormat="false" ht="15" hidden="false" customHeight="false" outlineLevel="0" collapsed="false">
      <c r="A39" s="25" t="n">
        <v>29</v>
      </c>
      <c r="B39" s="26" t="s">
        <v>186</v>
      </c>
      <c r="C39" s="25" t="s">
        <v>158</v>
      </c>
      <c r="D39" s="27" t="n">
        <v>4.99</v>
      </c>
      <c r="E39" s="28" t="n">
        <v>3000</v>
      </c>
      <c r="F39" s="29" t="n">
        <f aca="false">E39*$B$5*(1-$B$7)</f>
        <v>174.6</v>
      </c>
      <c r="G39" s="30" t="n">
        <f aca="false">F39*D39</f>
        <v>871.254</v>
      </c>
      <c r="H39" s="30" t="n">
        <f aca="false">G39*(1-$B$6)</f>
        <v>609.8778</v>
      </c>
    </row>
    <row r="40" customFormat="false" ht="15" hidden="false" customHeight="false" outlineLevel="0" collapsed="false">
      <c r="A40" s="25" t="n">
        <v>30</v>
      </c>
      <c r="B40" s="26" t="s">
        <v>189</v>
      </c>
      <c r="C40" s="25" t="s">
        <v>158</v>
      </c>
      <c r="D40" s="27" t="n">
        <v>4.99</v>
      </c>
      <c r="E40" s="28" t="n">
        <v>3000</v>
      </c>
      <c r="F40" s="29" t="n">
        <f aca="false">E40*$B$5*(1-$B$7)</f>
        <v>174.6</v>
      </c>
      <c r="G40" s="30" t="n">
        <f aca="false">F40*D40</f>
        <v>871.254</v>
      </c>
      <c r="H40" s="30" t="n">
        <f aca="false">G40*(1-$B$6)</f>
        <v>609.8778</v>
      </c>
    </row>
    <row r="41" customFormat="false" ht="15" hidden="false" customHeight="false" outlineLevel="0" collapsed="false">
      <c r="A41" s="25" t="n">
        <v>31</v>
      </c>
      <c r="B41" s="26" t="s">
        <v>193</v>
      </c>
      <c r="C41" s="25" t="s">
        <v>158</v>
      </c>
      <c r="D41" s="27" t="n">
        <v>4.99</v>
      </c>
      <c r="E41" s="28" t="n">
        <v>3000</v>
      </c>
      <c r="F41" s="29" t="n">
        <f aca="false">E41*$B$5*(1-$B$7)</f>
        <v>174.6</v>
      </c>
      <c r="G41" s="30" t="n">
        <f aca="false">F41*D41</f>
        <v>871.254</v>
      </c>
      <c r="H41" s="30" t="n">
        <f aca="false">G41*(1-$B$6)</f>
        <v>609.8778</v>
      </c>
    </row>
    <row r="42" customFormat="false" ht="15" hidden="false" customHeight="false" outlineLevel="0" collapsed="false">
      <c r="A42" s="25" t="n">
        <v>32</v>
      </c>
      <c r="B42" s="26" t="s">
        <v>196</v>
      </c>
      <c r="C42" s="25" t="s">
        <v>158</v>
      </c>
      <c r="D42" s="27" t="n">
        <v>4.99</v>
      </c>
      <c r="E42" s="28" t="n">
        <v>3000</v>
      </c>
      <c r="F42" s="29" t="n">
        <f aca="false">E42*$B$5*(1-$B$7)</f>
        <v>174.6</v>
      </c>
      <c r="G42" s="30" t="n">
        <f aca="false">F42*D42</f>
        <v>871.254</v>
      </c>
      <c r="H42" s="30" t="n">
        <f aca="false">G42*(1-$B$6)</f>
        <v>609.8778</v>
      </c>
    </row>
    <row r="43" customFormat="false" ht="15" hidden="false" customHeight="false" outlineLevel="0" collapsed="false">
      <c r="A43" s="25" t="n">
        <v>33</v>
      </c>
      <c r="B43" s="26" t="s">
        <v>200</v>
      </c>
      <c r="C43" s="25" t="s">
        <v>158</v>
      </c>
      <c r="D43" s="27" t="n">
        <v>4.99</v>
      </c>
      <c r="E43" s="28" t="n">
        <v>3000</v>
      </c>
      <c r="F43" s="29" t="n">
        <f aca="false">E43*$B$5*(1-$B$7)</f>
        <v>174.6</v>
      </c>
      <c r="G43" s="30" t="n">
        <f aca="false">F43*D43</f>
        <v>871.254</v>
      </c>
      <c r="H43" s="30" t="n">
        <f aca="false">G43*(1-$B$6)</f>
        <v>609.8778</v>
      </c>
    </row>
    <row r="44" customFormat="false" ht="15" hidden="false" customHeight="false" outlineLevel="0" collapsed="false">
      <c r="A44" s="25" t="n">
        <v>34</v>
      </c>
      <c r="B44" s="26" t="s">
        <v>203</v>
      </c>
      <c r="C44" s="25" t="s">
        <v>158</v>
      </c>
      <c r="D44" s="27" t="n">
        <v>4.99</v>
      </c>
      <c r="E44" s="28" t="n">
        <v>3000</v>
      </c>
      <c r="F44" s="29" t="n">
        <f aca="false">E44*$B$5*(1-$B$7)</f>
        <v>174.6</v>
      </c>
      <c r="G44" s="30" t="n">
        <f aca="false">F44*D44</f>
        <v>871.254</v>
      </c>
      <c r="H44" s="30" t="n">
        <f aca="false">G44*(1-$B$6)</f>
        <v>609.8778</v>
      </c>
    </row>
    <row r="45" customFormat="false" ht="15" hidden="false" customHeight="false" outlineLevel="0" collapsed="false">
      <c r="A45" s="25" t="n">
        <v>35</v>
      </c>
      <c r="B45" s="26" t="s">
        <v>205</v>
      </c>
      <c r="C45" s="25" t="s">
        <v>158</v>
      </c>
      <c r="D45" s="27" t="n">
        <v>4.99</v>
      </c>
      <c r="E45" s="28" t="n">
        <v>3000</v>
      </c>
      <c r="F45" s="29" t="n">
        <f aca="false">E45*$B$5*(1-$B$7)</f>
        <v>174.6</v>
      </c>
      <c r="G45" s="30" t="n">
        <f aca="false">F45*D45</f>
        <v>871.254</v>
      </c>
      <c r="H45" s="30" t="n">
        <f aca="false">G45*(1-$B$6)</f>
        <v>609.8778</v>
      </c>
    </row>
    <row r="46" customFormat="false" ht="15" hidden="false" customHeight="false" outlineLevel="0" collapsed="false">
      <c r="A46" s="25" t="n">
        <v>36</v>
      </c>
      <c r="B46" s="26" t="s">
        <v>207</v>
      </c>
      <c r="C46" s="25" t="s">
        <v>158</v>
      </c>
      <c r="D46" s="27" t="n">
        <v>4.99</v>
      </c>
      <c r="E46" s="28" t="n">
        <v>3000</v>
      </c>
      <c r="F46" s="29" t="n">
        <f aca="false">E46*$B$5*(1-$B$7)</f>
        <v>174.6</v>
      </c>
      <c r="G46" s="30" t="n">
        <f aca="false">F46*D46</f>
        <v>871.254</v>
      </c>
      <c r="H46" s="30" t="n">
        <f aca="false">G46*(1-$B$6)</f>
        <v>609.8778</v>
      </c>
    </row>
    <row r="47" customFormat="false" ht="15" hidden="false" customHeight="false" outlineLevel="0" collapsed="false">
      <c r="A47" s="25" t="n">
        <v>37</v>
      </c>
      <c r="B47" s="26" t="s">
        <v>210</v>
      </c>
      <c r="C47" s="25" t="s">
        <v>158</v>
      </c>
      <c r="D47" s="27" t="n">
        <v>4.99</v>
      </c>
      <c r="E47" s="28" t="n">
        <v>3000</v>
      </c>
      <c r="F47" s="29" t="n">
        <f aca="false">E47*$B$5*(1-$B$7)</f>
        <v>174.6</v>
      </c>
      <c r="G47" s="30" t="n">
        <f aca="false">F47*D47</f>
        <v>871.254</v>
      </c>
      <c r="H47" s="30" t="n">
        <f aca="false">G47*(1-$B$6)</f>
        <v>609.8778</v>
      </c>
    </row>
    <row r="48" customFormat="false" ht="15" hidden="false" customHeight="false" outlineLevel="0" collapsed="false">
      <c r="A48" s="25" t="n">
        <v>38</v>
      </c>
      <c r="B48" s="26" t="s">
        <v>212</v>
      </c>
      <c r="C48" s="25" t="s">
        <v>158</v>
      </c>
      <c r="D48" s="27" t="n">
        <v>4.99</v>
      </c>
      <c r="E48" s="28" t="n">
        <v>3000</v>
      </c>
      <c r="F48" s="29" t="n">
        <f aca="false">E48*$B$5*(1-$B$7)</f>
        <v>174.6</v>
      </c>
      <c r="G48" s="30" t="n">
        <f aca="false">F48*D48</f>
        <v>871.254</v>
      </c>
      <c r="H48" s="30" t="n">
        <f aca="false">G48*(1-$B$6)</f>
        <v>609.8778</v>
      </c>
    </row>
    <row r="49" customFormat="false" ht="15" hidden="false" customHeight="false" outlineLevel="0" collapsed="false">
      <c r="A49" s="25" t="n">
        <v>39</v>
      </c>
      <c r="B49" s="26" t="s">
        <v>216</v>
      </c>
      <c r="C49" s="25" t="s">
        <v>158</v>
      </c>
      <c r="D49" s="27" t="n">
        <v>4.99</v>
      </c>
      <c r="E49" s="28" t="n">
        <v>3000</v>
      </c>
      <c r="F49" s="29" t="n">
        <f aca="false">E49*$B$5*(1-$B$7)</f>
        <v>174.6</v>
      </c>
      <c r="G49" s="30" t="n">
        <f aca="false">F49*D49</f>
        <v>871.254</v>
      </c>
      <c r="H49" s="30" t="n">
        <f aca="false">G49*(1-$B$6)</f>
        <v>609.8778</v>
      </c>
    </row>
    <row r="50" customFormat="false" ht="15" hidden="false" customHeight="false" outlineLevel="0" collapsed="false">
      <c r="A50" s="25" t="n">
        <v>40</v>
      </c>
      <c r="B50" s="26" t="s">
        <v>219</v>
      </c>
      <c r="C50" s="25" t="s">
        <v>158</v>
      </c>
      <c r="D50" s="27" t="n">
        <v>4.99</v>
      </c>
      <c r="E50" s="28" t="n">
        <v>3000</v>
      </c>
      <c r="F50" s="29" t="n">
        <f aca="false">E50*$B$5*(1-$B$7)</f>
        <v>174.6</v>
      </c>
      <c r="G50" s="30" t="n">
        <f aca="false">F50*D50</f>
        <v>871.254</v>
      </c>
      <c r="H50" s="30" t="n">
        <f aca="false">G50*(1-$B$6)</f>
        <v>609.8778</v>
      </c>
    </row>
    <row r="51" customFormat="false" ht="15" hidden="false" customHeight="false" outlineLevel="0" collapsed="false">
      <c r="A51" s="25" t="n">
        <v>41</v>
      </c>
      <c r="B51" s="26" t="s">
        <v>223</v>
      </c>
      <c r="C51" s="25" t="s">
        <v>158</v>
      </c>
      <c r="D51" s="27" t="n">
        <v>4.99</v>
      </c>
      <c r="E51" s="28" t="n">
        <v>3000</v>
      </c>
      <c r="F51" s="29" t="n">
        <f aca="false">E51*$B$5*(1-$B$7)</f>
        <v>174.6</v>
      </c>
      <c r="G51" s="30" t="n">
        <f aca="false">F51*D51</f>
        <v>871.254</v>
      </c>
      <c r="H51" s="30" t="n">
        <f aca="false">G51*(1-$B$6)</f>
        <v>609.8778</v>
      </c>
    </row>
    <row r="52" customFormat="false" ht="15" hidden="false" customHeight="false" outlineLevel="0" collapsed="false">
      <c r="A52" s="25" t="n">
        <v>42</v>
      </c>
      <c r="B52" s="26" t="s">
        <v>226</v>
      </c>
      <c r="C52" s="25" t="s">
        <v>158</v>
      </c>
      <c r="D52" s="27" t="n">
        <v>4.99</v>
      </c>
      <c r="E52" s="28" t="n">
        <v>3000</v>
      </c>
      <c r="F52" s="29" t="n">
        <f aca="false">E52*$B$5*(1-$B$7)</f>
        <v>174.6</v>
      </c>
      <c r="G52" s="30" t="n">
        <f aca="false">F52*D52</f>
        <v>871.254</v>
      </c>
      <c r="H52" s="30" t="n">
        <f aca="false">G52*(1-$B$6)</f>
        <v>609.8778</v>
      </c>
    </row>
    <row r="53" customFormat="false" ht="15" hidden="false" customHeight="false" outlineLevel="0" collapsed="false">
      <c r="A53" s="25" t="n">
        <v>43</v>
      </c>
      <c r="B53" s="26" t="s">
        <v>230</v>
      </c>
      <c r="C53" s="25" t="s">
        <v>158</v>
      </c>
      <c r="D53" s="27" t="n">
        <v>4.99</v>
      </c>
      <c r="E53" s="28" t="n">
        <v>3000</v>
      </c>
      <c r="F53" s="29" t="n">
        <f aca="false">E53*$B$5*(1-$B$7)</f>
        <v>174.6</v>
      </c>
      <c r="G53" s="30" t="n">
        <f aca="false">F53*D53</f>
        <v>871.254</v>
      </c>
      <c r="H53" s="30" t="n">
        <f aca="false">G53*(1-$B$6)</f>
        <v>609.8778</v>
      </c>
    </row>
    <row r="54" customFormat="false" ht="15" hidden="false" customHeight="false" outlineLevel="0" collapsed="false">
      <c r="A54" s="25" t="n">
        <v>44</v>
      </c>
      <c r="B54" s="26" t="s">
        <v>232</v>
      </c>
      <c r="C54" s="25" t="s">
        <v>158</v>
      </c>
      <c r="D54" s="27" t="n">
        <v>4.99</v>
      </c>
      <c r="E54" s="28" t="n">
        <v>3000</v>
      </c>
      <c r="F54" s="29" t="n">
        <f aca="false">E54*$B$5*(1-$B$7)</f>
        <v>174.6</v>
      </c>
      <c r="G54" s="30" t="n">
        <f aca="false">F54*D54</f>
        <v>871.254</v>
      </c>
      <c r="H54" s="30" t="n">
        <f aca="false">G54*(1-$B$6)</f>
        <v>609.8778</v>
      </c>
    </row>
    <row r="55" customFormat="false" ht="15" hidden="false" customHeight="false" outlineLevel="0" collapsed="false">
      <c r="A55" s="25" t="n">
        <v>45</v>
      </c>
      <c r="B55" s="26" t="s">
        <v>236</v>
      </c>
      <c r="C55" s="25" t="s">
        <v>158</v>
      </c>
      <c r="D55" s="27" t="n">
        <v>4.99</v>
      </c>
      <c r="E55" s="28" t="n">
        <v>3000</v>
      </c>
      <c r="F55" s="29" t="n">
        <f aca="false">E55*$B$5*(1-$B$7)</f>
        <v>174.6</v>
      </c>
      <c r="G55" s="30" t="n">
        <f aca="false">F55*D55</f>
        <v>871.254</v>
      </c>
      <c r="H55" s="30" t="n">
        <f aca="false">G55*(1-$B$6)</f>
        <v>609.8778</v>
      </c>
    </row>
    <row r="56" customFormat="false" ht="15" hidden="false" customHeight="false" outlineLevel="0" collapsed="false">
      <c r="A56" s="25" t="n">
        <v>46</v>
      </c>
      <c r="B56" s="26" t="s">
        <v>238</v>
      </c>
      <c r="C56" s="25" t="s">
        <v>158</v>
      </c>
      <c r="D56" s="27" t="n">
        <v>4.99</v>
      </c>
      <c r="E56" s="28" t="n">
        <v>3000</v>
      </c>
      <c r="F56" s="29" t="n">
        <f aca="false">E56*$B$5*(1-$B$7)</f>
        <v>174.6</v>
      </c>
      <c r="G56" s="30" t="n">
        <f aca="false">F56*D56</f>
        <v>871.254</v>
      </c>
      <c r="H56" s="30" t="n">
        <f aca="false">G56*(1-$B$6)</f>
        <v>609.8778</v>
      </c>
    </row>
    <row r="57" customFormat="false" ht="15" hidden="false" customHeight="false" outlineLevel="0" collapsed="false">
      <c r="A57" s="25" t="n">
        <v>47</v>
      </c>
      <c r="B57" s="26" t="s">
        <v>240</v>
      </c>
      <c r="C57" s="25" t="s">
        <v>158</v>
      </c>
      <c r="D57" s="27" t="n">
        <v>4.99</v>
      </c>
      <c r="E57" s="28" t="n">
        <v>3000</v>
      </c>
      <c r="F57" s="29" t="n">
        <f aca="false">E57*$B$5*(1-$B$7)</f>
        <v>174.6</v>
      </c>
      <c r="G57" s="30" t="n">
        <f aca="false">F57*D57</f>
        <v>871.254</v>
      </c>
      <c r="H57" s="30" t="n">
        <f aca="false">G57*(1-$B$6)</f>
        <v>609.8778</v>
      </c>
    </row>
    <row r="58" customFormat="false" ht="15" hidden="false" customHeight="false" outlineLevel="0" collapsed="false">
      <c r="A58" s="25" t="n">
        <v>48</v>
      </c>
      <c r="B58" s="26" t="s">
        <v>242</v>
      </c>
      <c r="C58" s="25" t="s">
        <v>158</v>
      </c>
      <c r="D58" s="27" t="n">
        <v>4.99</v>
      </c>
      <c r="E58" s="28" t="n">
        <v>3000</v>
      </c>
      <c r="F58" s="29" t="n">
        <f aca="false">E58*$B$5*(1-$B$7)</f>
        <v>174.6</v>
      </c>
      <c r="G58" s="30" t="n">
        <f aca="false">F58*D58</f>
        <v>871.254</v>
      </c>
      <c r="H58" s="30" t="n">
        <f aca="false">G58*(1-$B$6)</f>
        <v>609.8778</v>
      </c>
    </row>
    <row r="59" customFormat="false" ht="15" hidden="false" customHeight="false" outlineLevel="0" collapsed="false">
      <c r="A59" s="25" t="n">
        <v>49</v>
      </c>
      <c r="B59" s="26" t="s">
        <v>244</v>
      </c>
      <c r="C59" s="25" t="s">
        <v>158</v>
      </c>
      <c r="D59" s="27" t="n">
        <v>4.99</v>
      </c>
      <c r="E59" s="28" t="n">
        <v>3000</v>
      </c>
      <c r="F59" s="29" t="n">
        <f aca="false">E59*$B$5*(1-$B$7)</f>
        <v>174.6</v>
      </c>
      <c r="G59" s="30" t="n">
        <f aca="false">F59*D59</f>
        <v>871.254</v>
      </c>
      <c r="H59" s="30" t="n">
        <f aca="false">G59*(1-$B$6)</f>
        <v>609.8778</v>
      </c>
    </row>
    <row r="60" customFormat="false" ht="15" hidden="false" customHeight="false" outlineLevel="0" collapsed="false">
      <c r="A60" s="25" t="n">
        <v>50</v>
      </c>
      <c r="B60" s="26" t="s">
        <v>246</v>
      </c>
      <c r="C60" s="25" t="s">
        <v>158</v>
      </c>
      <c r="D60" s="27" t="n">
        <v>4.99</v>
      </c>
      <c r="E60" s="28" t="n">
        <v>3000</v>
      </c>
      <c r="F60" s="29" t="n">
        <f aca="false">E60*$B$5*(1-$B$7)</f>
        <v>174.6</v>
      </c>
      <c r="G60" s="30" t="n">
        <f aca="false">F60*D60</f>
        <v>871.254</v>
      </c>
      <c r="H60" s="30" t="n">
        <f aca="false">G60*(1-$B$6)</f>
        <v>609.8778</v>
      </c>
    </row>
    <row r="61" customFormat="false" ht="15" hidden="false" customHeight="false" outlineLevel="0" collapsed="false">
      <c r="A61" s="25" t="n">
        <v>51</v>
      </c>
      <c r="B61" s="26" t="s">
        <v>248</v>
      </c>
      <c r="C61" s="25" t="s">
        <v>158</v>
      </c>
      <c r="D61" s="27" t="n">
        <v>4.99</v>
      </c>
      <c r="E61" s="28" t="n">
        <v>3000</v>
      </c>
      <c r="F61" s="29" t="n">
        <f aca="false">E61*$B$5*(1-$B$7)</f>
        <v>174.6</v>
      </c>
      <c r="G61" s="30" t="n">
        <f aca="false">F61*D61</f>
        <v>871.254</v>
      </c>
      <c r="H61" s="30" t="n">
        <f aca="false">G61*(1-$B$6)</f>
        <v>609.8778</v>
      </c>
    </row>
    <row r="62" customFormat="false" ht="15" hidden="false" customHeight="false" outlineLevel="0" collapsed="false">
      <c r="A62" s="13"/>
      <c r="B62" s="14" t="s">
        <v>499</v>
      </c>
      <c r="C62" s="13"/>
      <c r="D62" s="13"/>
      <c r="E62" s="31" t="n">
        <f aca="false">SUM(E11:E61)</f>
        <v>321000</v>
      </c>
      <c r="F62" s="31" t="n">
        <f aca="false">SUM(F11:F61)</f>
        <v>18682.2</v>
      </c>
      <c r="G62" s="32" t="n">
        <f aca="false">SUM(G11:G61)</f>
        <v>112313.778</v>
      </c>
      <c r="H62" s="32" t="n">
        <f aca="false">SUM(H11:H61)</f>
        <v>78619.6446</v>
      </c>
    </row>
    <row r="65" customFormat="false" ht="15" hidden="false" customHeight="false" outlineLevel="0" collapsed="false">
      <c r="A65" s="22" t="s">
        <v>500</v>
      </c>
      <c r="B65" s="22"/>
      <c r="C65" s="22"/>
      <c r="D65" s="22"/>
      <c r="E65" s="22"/>
    </row>
    <row r="66" customFormat="false" ht="52.2" hidden="false" customHeight="false" outlineLevel="0" collapsed="false">
      <c r="A66" s="6" t="s">
        <v>501</v>
      </c>
      <c r="B66" s="6" t="s">
        <v>502</v>
      </c>
      <c r="C66" s="6" t="s">
        <v>503</v>
      </c>
    </row>
    <row r="67" customFormat="false" ht="15" hidden="false" customHeight="false" outlineLevel="0" collapsed="false">
      <c r="A67" s="19" t="s">
        <v>504</v>
      </c>
      <c r="B67" s="33" t="n">
        <v>0.03</v>
      </c>
      <c r="C67" s="34" t="n">
        <f aca="false">SUMPRODUCT(E11:E61,D11:D61)*B67*(1-$B$7)*(1-$B$6)</f>
        <v>39309.8223</v>
      </c>
    </row>
    <row r="68" customFormat="false" ht="15" hidden="false" customHeight="false" outlineLevel="0" collapsed="false">
      <c r="A68" s="19" t="s">
        <v>505</v>
      </c>
      <c r="B68" s="33" t="n">
        <v>0.06</v>
      </c>
      <c r="C68" s="34" t="n">
        <f aca="false">SUMPRODUCT(E11:E61,D11:D61)*B68*(1-$B$7)*(1-$B$6)</f>
        <v>78619.6446</v>
      </c>
    </row>
    <row r="69" customFormat="false" ht="15" hidden="false" customHeight="false" outlineLevel="0" collapsed="false">
      <c r="A69" s="19" t="s">
        <v>506</v>
      </c>
      <c r="B69" s="33" t="n">
        <v>0.1</v>
      </c>
      <c r="C69" s="34" t="n">
        <f aca="false">SUMPRODUCT(E11:E61,D11:D61)*B69*(1-$B$7)*(1-$B$6)</f>
        <v>131032.741</v>
      </c>
    </row>
    <row r="70" customFormat="false" ht="15" hidden="false" customHeight="false" outlineLevel="0" collapsed="false">
      <c r="A70" s="19" t="s">
        <v>12</v>
      </c>
      <c r="B70" s="33" t="n">
        <v>0.15</v>
      </c>
      <c r="C70" s="34" t="n">
        <f aca="false">SUMPRODUCT(E11:E61,D11:D61)*B70*(1-$B$7)*(1-$B$6)</f>
        <v>196549.1115</v>
      </c>
    </row>
  </sheetData>
  <mergeCells count="5">
    <mergeCell ref="A1:H1"/>
    <mergeCell ref="A2:H2"/>
    <mergeCell ref="A4:D4"/>
    <mergeCell ref="A9:H9"/>
    <mergeCell ref="A65:E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50"/>
    <col collapsed="false" customWidth="true" hidden="false" outlineLevel="0" max="6" min="6" style="0" width="35"/>
  </cols>
  <sheetData>
    <row r="1" customFormat="false" ht="17.35" hidden="false" customHeight="false" outlineLevel="0" collapsed="false">
      <c r="A1" s="15" t="s">
        <v>507</v>
      </c>
      <c r="B1" s="15"/>
      <c r="C1" s="15"/>
      <c r="D1" s="15"/>
      <c r="E1" s="15"/>
      <c r="F1" s="15"/>
    </row>
    <row r="3" customFormat="false" ht="30" hidden="false" customHeight="true" outlineLevel="0" collapsed="false">
      <c r="A3" s="6" t="s">
        <v>38</v>
      </c>
      <c r="B3" s="6" t="s">
        <v>508</v>
      </c>
      <c r="C3" s="6" t="s">
        <v>509</v>
      </c>
      <c r="D3" s="6" t="s">
        <v>510</v>
      </c>
      <c r="E3" s="6" t="s">
        <v>511</v>
      </c>
      <c r="F3" s="6" t="s">
        <v>512</v>
      </c>
    </row>
    <row r="4" customFormat="false" ht="60" hidden="false" customHeight="true" outlineLevel="0" collapsed="false">
      <c r="A4" s="8" t="s">
        <v>513</v>
      </c>
      <c r="B4" s="8" t="s">
        <v>514</v>
      </c>
      <c r="C4" s="35" t="s">
        <v>515</v>
      </c>
      <c r="D4" s="36" t="s">
        <v>516</v>
      </c>
      <c r="E4" s="8" t="s">
        <v>517</v>
      </c>
      <c r="F4" s="8" t="s">
        <v>518</v>
      </c>
    </row>
    <row r="5" customFormat="false" ht="60" hidden="false" customHeight="true" outlineLevel="0" collapsed="false">
      <c r="A5" s="8" t="s">
        <v>519</v>
      </c>
      <c r="B5" s="8" t="s">
        <v>520</v>
      </c>
      <c r="C5" s="35" t="s">
        <v>515</v>
      </c>
      <c r="D5" s="36" t="s">
        <v>516</v>
      </c>
      <c r="E5" s="8" t="s">
        <v>521</v>
      </c>
      <c r="F5" s="8" t="s">
        <v>522</v>
      </c>
    </row>
    <row r="6" customFormat="false" ht="60" hidden="false" customHeight="true" outlineLevel="0" collapsed="false">
      <c r="A6" s="8" t="s">
        <v>523</v>
      </c>
      <c r="B6" s="8" t="s">
        <v>524</v>
      </c>
      <c r="C6" s="36" t="s">
        <v>516</v>
      </c>
      <c r="D6" s="35" t="s">
        <v>515</v>
      </c>
      <c r="E6" s="8" t="s">
        <v>525</v>
      </c>
      <c r="F6" s="8" t="s">
        <v>526</v>
      </c>
    </row>
    <row r="7" customFormat="false" ht="60" hidden="false" customHeight="true" outlineLevel="0" collapsed="false">
      <c r="A7" s="8" t="s">
        <v>527</v>
      </c>
      <c r="B7" s="8" t="s">
        <v>528</v>
      </c>
      <c r="C7" s="35" t="s">
        <v>515</v>
      </c>
      <c r="D7" s="36" t="s">
        <v>516</v>
      </c>
      <c r="E7" s="8" t="s">
        <v>529</v>
      </c>
      <c r="F7" s="8" t="s">
        <v>530</v>
      </c>
    </row>
    <row r="8" customFormat="false" ht="60" hidden="false" customHeight="true" outlineLevel="0" collapsed="false">
      <c r="A8" s="8" t="s">
        <v>531</v>
      </c>
      <c r="B8" s="8" t="s">
        <v>532</v>
      </c>
      <c r="C8" s="37" t="s">
        <v>533</v>
      </c>
      <c r="D8" s="36" t="s">
        <v>534</v>
      </c>
      <c r="E8" s="8" t="s">
        <v>535</v>
      </c>
      <c r="F8" s="8" t="s">
        <v>536</v>
      </c>
    </row>
    <row r="9" customFormat="false" ht="60" hidden="false" customHeight="true" outlineLevel="0" collapsed="false">
      <c r="A9" s="8" t="s">
        <v>537</v>
      </c>
      <c r="B9" s="8" t="s">
        <v>538</v>
      </c>
      <c r="C9" s="36" t="s">
        <v>516</v>
      </c>
      <c r="D9" s="35" t="s">
        <v>515</v>
      </c>
      <c r="E9" s="8" t="s">
        <v>539</v>
      </c>
      <c r="F9" s="8" t="s">
        <v>540</v>
      </c>
    </row>
    <row r="10" customFormat="false" ht="60" hidden="false" customHeight="true" outlineLevel="0" collapsed="false">
      <c r="A10" s="8" t="s">
        <v>541</v>
      </c>
      <c r="B10" s="8" t="s">
        <v>542</v>
      </c>
      <c r="C10" s="35" t="s">
        <v>515</v>
      </c>
      <c r="D10" s="35" t="s">
        <v>515</v>
      </c>
      <c r="E10" s="8" t="s">
        <v>543</v>
      </c>
      <c r="F10" s="8" t="s">
        <v>544</v>
      </c>
    </row>
    <row r="11" customFormat="false" ht="60" hidden="false" customHeight="true" outlineLevel="0" collapsed="false">
      <c r="A11" s="8" t="s">
        <v>545</v>
      </c>
      <c r="B11" s="8" t="s">
        <v>546</v>
      </c>
      <c r="C11" s="35" t="s">
        <v>515</v>
      </c>
      <c r="D11" s="37" t="s">
        <v>533</v>
      </c>
      <c r="E11" s="8" t="s">
        <v>547</v>
      </c>
      <c r="F11" s="8" t="s">
        <v>548</v>
      </c>
    </row>
    <row r="12" customFormat="false" ht="60" hidden="false" customHeight="true" outlineLevel="0" collapsed="false">
      <c r="A12" s="8" t="s">
        <v>549</v>
      </c>
      <c r="B12" s="8" t="s">
        <v>550</v>
      </c>
      <c r="C12" s="36" t="s">
        <v>516</v>
      </c>
      <c r="D12" s="36" t="s">
        <v>516</v>
      </c>
      <c r="E12" s="8" t="s">
        <v>551</v>
      </c>
      <c r="F12" s="8" t="s">
        <v>552</v>
      </c>
    </row>
    <row r="13" customFormat="false" ht="60" hidden="false" customHeight="true" outlineLevel="0" collapsed="false">
      <c r="A13" s="8" t="s">
        <v>16</v>
      </c>
      <c r="B13" s="8" t="s">
        <v>553</v>
      </c>
      <c r="C13" s="35" t="s">
        <v>515</v>
      </c>
      <c r="D13" s="35" t="s">
        <v>515</v>
      </c>
      <c r="E13" s="8" t="s">
        <v>554</v>
      </c>
      <c r="F13" s="8" t="s">
        <v>555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5" t="s">
        <v>556</v>
      </c>
      <c r="B1" s="15"/>
      <c r="C1" s="15"/>
      <c r="D1" s="15"/>
      <c r="E1" s="15"/>
    </row>
    <row r="2" customFormat="false" ht="15" hidden="false" customHeight="false" outlineLevel="0" collapsed="false">
      <c r="A2" s="16" t="s">
        <v>557</v>
      </c>
      <c r="B2" s="16"/>
      <c r="C2" s="16"/>
      <c r="D2" s="16"/>
      <c r="E2" s="16"/>
    </row>
    <row r="4" customFormat="false" ht="30" hidden="false" customHeight="true" outlineLevel="0" collapsed="false">
      <c r="A4" s="6" t="s">
        <v>38</v>
      </c>
      <c r="B4" s="6" t="s">
        <v>256</v>
      </c>
      <c r="C4" s="6" t="s">
        <v>558</v>
      </c>
      <c r="D4" s="6" t="s">
        <v>559</v>
      </c>
      <c r="E4" s="6" t="s">
        <v>13</v>
      </c>
    </row>
    <row r="5" customFormat="false" ht="15" hidden="false" customHeight="false" outlineLevel="0" collapsed="false">
      <c r="A5" s="18" t="n">
        <v>1</v>
      </c>
      <c r="B5" s="8" t="s">
        <v>560</v>
      </c>
      <c r="C5" s="8" t="s">
        <v>561</v>
      </c>
      <c r="D5" s="18"/>
      <c r="E5" s="8"/>
    </row>
    <row r="6" customFormat="false" ht="15" hidden="false" customHeight="false" outlineLevel="0" collapsed="false">
      <c r="A6" s="18" t="n">
        <v>2</v>
      </c>
      <c r="B6" s="8" t="s">
        <v>560</v>
      </c>
      <c r="C6" s="8" t="s">
        <v>562</v>
      </c>
      <c r="D6" s="18"/>
      <c r="E6" s="8"/>
    </row>
    <row r="7" customFormat="false" ht="23.85" hidden="false" customHeight="false" outlineLevel="0" collapsed="false">
      <c r="A7" s="18" t="n">
        <v>3</v>
      </c>
      <c r="B7" s="8" t="s">
        <v>560</v>
      </c>
      <c r="C7" s="8" t="s">
        <v>563</v>
      </c>
      <c r="D7" s="18"/>
      <c r="E7" s="8"/>
    </row>
    <row r="8" customFormat="false" ht="15" hidden="false" customHeight="false" outlineLevel="0" collapsed="false">
      <c r="A8" s="18" t="n">
        <v>4</v>
      </c>
      <c r="B8" s="8" t="s">
        <v>560</v>
      </c>
      <c r="C8" s="8" t="s">
        <v>564</v>
      </c>
      <c r="D8" s="18"/>
      <c r="E8" s="8"/>
    </row>
    <row r="9" customFormat="false" ht="15" hidden="false" customHeight="false" outlineLevel="0" collapsed="false">
      <c r="A9" s="18" t="n">
        <v>5</v>
      </c>
      <c r="B9" s="8" t="s">
        <v>560</v>
      </c>
      <c r="C9" s="8" t="s">
        <v>565</v>
      </c>
      <c r="D9" s="18"/>
      <c r="E9" s="8"/>
    </row>
    <row r="10" customFormat="false" ht="15" hidden="false" customHeight="false" outlineLevel="0" collapsed="false">
      <c r="A10" s="18" t="n">
        <v>6</v>
      </c>
      <c r="B10" s="8" t="s">
        <v>560</v>
      </c>
      <c r="C10" s="8" t="s">
        <v>566</v>
      </c>
      <c r="D10" s="18"/>
      <c r="E10" s="8"/>
    </row>
    <row r="11" customFormat="false" ht="15" hidden="false" customHeight="false" outlineLevel="0" collapsed="false">
      <c r="A11" s="18" t="n">
        <v>7</v>
      </c>
      <c r="B11" s="8" t="s">
        <v>560</v>
      </c>
      <c r="C11" s="8" t="s">
        <v>567</v>
      </c>
      <c r="D11" s="18"/>
      <c r="E11" s="8"/>
    </row>
    <row r="12" customFormat="false" ht="15" hidden="false" customHeight="false" outlineLevel="0" collapsed="false">
      <c r="A12" s="18" t="n">
        <v>8</v>
      </c>
      <c r="B12" s="8" t="s">
        <v>568</v>
      </c>
      <c r="C12" s="8" t="s">
        <v>569</v>
      </c>
      <c r="D12" s="18"/>
      <c r="E12" s="8"/>
    </row>
    <row r="13" customFormat="false" ht="15" hidden="false" customHeight="false" outlineLevel="0" collapsed="false">
      <c r="A13" s="18" t="n">
        <v>9</v>
      </c>
      <c r="B13" s="8" t="s">
        <v>568</v>
      </c>
      <c r="C13" s="8" t="s">
        <v>570</v>
      </c>
      <c r="D13" s="18"/>
      <c r="E13" s="8"/>
    </row>
    <row r="14" customFormat="false" ht="23.85" hidden="false" customHeight="false" outlineLevel="0" collapsed="false">
      <c r="A14" s="18" t="n">
        <v>10</v>
      </c>
      <c r="B14" s="8" t="s">
        <v>568</v>
      </c>
      <c r="C14" s="8" t="s">
        <v>571</v>
      </c>
      <c r="D14" s="18"/>
      <c r="E14" s="8"/>
    </row>
    <row r="15" customFormat="false" ht="15" hidden="false" customHeight="false" outlineLevel="0" collapsed="false">
      <c r="A15" s="18" t="n">
        <v>11</v>
      </c>
      <c r="B15" s="8" t="s">
        <v>572</v>
      </c>
      <c r="C15" s="8" t="s">
        <v>573</v>
      </c>
      <c r="D15" s="18"/>
      <c r="E15" s="8"/>
    </row>
    <row r="16" customFormat="false" ht="15" hidden="false" customHeight="false" outlineLevel="0" collapsed="false">
      <c r="A16" s="18" t="n">
        <v>12</v>
      </c>
      <c r="B16" s="8" t="s">
        <v>572</v>
      </c>
      <c r="C16" s="8" t="s">
        <v>574</v>
      </c>
      <c r="D16" s="18"/>
      <c r="E16" s="8"/>
    </row>
    <row r="17" customFormat="false" ht="15" hidden="false" customHeight="false" outlineLevel="0" collapsed="false">
      <c r="A17" s="18" t="n">
        <v>13</v>
      </c>
      <c r="B17" s="8" t="s">
        <v>572</v>
      </c>
      <c r="C17" s="8" t="s">
        <v>575</v>
      </c>
      <c r="D17" s="18"/>
      <c r="E17" s="8"/>
    </row>
    <row r="18" customFormat="false" ht="15" hidden="false" customHeight="false" outlineLevel="0" collapsed="false">
      <c r="A18" s="18" t="n">
        <v>14</v>
      </c>
      <c r="B18" s="8" t="s">
        <v>572</v>
      </c>
      <c r="C18" s="8" t="s">
        <v>576</v>
      </c>
      <c r="D18" s="18"/>
      <c r="E18" s="8"/>
    </row>
    <row r="19" customFormat="false" ht="15" hidden="false" customHeight="false" outlineLevel="0" collapsed="false">
      <c r="A19" s="18" t="n">
        <v>15</v>
      </c>
      <c r="B19" s="8" t="s">
        <v>572</v>
      </c>
      <c r="C19" s="8" t="s">
        <v>577</v>
      </c>
      <c r="D19" s="18"/>
      <c r="E19" s="8"/>
    </row>
    <row r="20" customFormat="false" ht="15" hidden="false" customHeight="false" outlineLevel="0" collapsed="false">
      <c r="A20" s="18" t="n">
        <v>16</v>
      </c>
      <c r="B20" s="8" t="s">
        <v>572</v>
      </c>
      <c r="C20" s="8" t="s">
        <v>578</v>
      </c>
      <c r="D20" s="18"/>
      <c r="E20" s="8"/>
    </row>
    <row r="21" customFormat="false" ht="15" hidden="false" customHeight="false" outlineLevel="0" collapsed="false">
      <c r="A21" s="18" t="n">
        <v>17</v>
      </c>
      <c r="B21" s="8" t="s">
        <v>579</v>
      </c>
      <c r="C21" s="8" t="s">
        <v>580</v>
      </c>
      <c r="D21" s="18"/>
      <c r="E21" s="8"/>
    </row>
    <row r="22" customFormat="false" ht="23.85" hidden="false" customHeight="false" outlineLevel="0" collapsed="false">
      <c r="A22" s="18" t="n">
        <v>18</v>
      </c>
      <c r="B22" s="8" t="s">
        <v>579</v>
      </c>
      <c r="C22" s="8" t="s">
        <v>581</v>
      </c>
      <c r="D22" s="18"/>
      <c r="E22" s="8"/>
    </row>
    <row r="23" customFormat="false" ht="15" hidden="false" customHeight="false" outlineLevel="0" collapsed="false">
      <c r="A23" s="18" t="n">
        <v>19</v>
      </c>
      <c r="B23" s="8" t="s">
        <v>579</v>
      </c>
      <c r="C23" s="8" t="s">
        <v>582</v>
      </c>
      <c r="D23" s="18"/>
      <c r="E23" s="8"/>
    </row>
    <row r="24" customFormat="false" ht="15" hidden="false" customHeight="false" outlineLevel="0" collapsed="false">
      <c r="A24" s="18" t="n">
        <v>20</v>
      </c>
      <c r="B24" s="8" t="s">
        <v>579</v>
      </c>
      <c r="C24" s="8" t="s">
        <v>583</v>
      </c>
      <c r="D24" s="18"/>
      <c r="E24" s="8"/>
    </row>
    <row r="25" customFormat="false" ht="15" hidden="false" customHeight="false" outlineLevel="0" collapsed="false">
      <c r="A25" s="18" t="n">
        <v>21</v>
      </c>
      <c r="B25" s="8" t="s">
        <v>579</v>
      </c>
      <c r="C25" s="8" t="s">
        <v>584</v>
      </c>
      <c r="D25" s="18"/>
      <c r="E25" s="8"/>
    </row>
    <row r="26" customFormat="false" ht="15" hidden="false" customHeight="false" outlineLevel="0" collapsed="false">
      <c r="A26" s="18" t="n">
        <v>22</v>
      </c>
      <c r="B26" s="8" t="s">
        <v>585</v>
      </c>
      <c r="C26" s="8" t="s">
        <v>586</v>
      </c>
      <c r="D26" s="18"/>
      <c r="E26" s="8"/>
    </row>
    <row r="27" customFormat="false" ht="15" hidden="false" customHeight="false" outlineLevel="0" collapsed="false">
      <c r="A27" s="18" t="n">
        <v>23</v>
      </c>
      <c r="B27" s="8" t="s">
        <v>585</v>
      </c>
      <c r="C27" s="8" t="s">
        <v>587</v>
      </c>
      <c r="D27" s="18"/>
      <c r="E27" s="8"/>
    </row>
    <row r="28" customFormat="false" ht="15" hidden="false" customHeight="false" outlineLevel="0" collapsed="false">
      <c r="A28" s="18" t="n">
        <v>24</v>
      </c>
      <c r="B28" s="8" t="s">
        <v>585</v>
      </c>
      <c r="C28" s="8" t="s">
        <v>588</v>
      </c>
      <c r="D28" s="18"/>
      <c r="E28" s="8"/>
    </row>
    <row r="29" customFormat="false" ht="15" hidden="false" customHeight="false" outlineLevel="0" collapsed="false">
      <c r="A29" s="18" t="n">
        <v>25</v>
      </c>
      <c r="B29" s="8" t="s">
        <v>589</v>
      </c>
      <c r="C29" s="8" t="s">
        <v>590</v>
      </c>
      <c r="D29" s="18"/>
      <c r="E29" s="8"/>
    </row>
    <row r="30" customFormat="false" ht="15" hidden="false" customHeight="false" outlineLevel="0" collapsed="false">
      <c r="A30" s="18" t="n">
        <v>26</v>
      </c>
      <c r="B30" s="8" t="s">
        <v>589</v>
      </c>
      <c r="C30" s="8" t="s">
        <v>591</v>
      </c>
      <c r="D30" s="18"/>
      <c r="E30" s="8"/>
    </row>
    <row r="31" customFormat="false" ht="15" hidden="false" customHeight="false" outlineLevel="0" collapsed="false">
      <c r="A31" s="18" t="n">
        <v>27</v>
      </c>
      <c r="B31" s="8" t="s">
        <v>589</v>
      </c>
      <c r="C31" s="8" t="s">
        <v>592</v>
      </c>
      <c r="D31" s="18"/>
      <c r="E31" s="8"/>
    </row>
    <row r="32" customFormat="false" ht="15" hidden="false" customHeight="false" outlineLevel="0" collapsed="false">
      <c r="A32" s="18" t="n">
        <v>28</v>
      </c>
      <c r="B32" s="8" t="s">
        <v>593</v>
      </c>
      <c r="C32" s="8" t="s">
        <v>594</v>
      </c>
      <c r="D32" s="18"/>
      <c r="E32" s="8"/>
    </row>
    <row r="33" customFormat="false" ht="15" hidden="false" customHeight="false" outlineLevel="0" collapsed="false">
      <c r="A33" s="18" t="n">
        <v>29</v>
      </c>
      <c r="B33" s="8" t="s">
        <v>593</v>
      </c>
      <c r="C33" s="8" t="s">
        <v>595</v>
      </c>
      <c r="D33" s="18"/>
      <c r="E33" s="8"/>
    </row>
    <row r="34" customFormat="false" ht="15" hidden="false" customHeight="false" outlineLevel="0" collapsed="false">
      <c r="A34" s="18" t="n">
        <v>30</v>
      </c>
      <c r="B34" s="8" t="s">
        <v>593</v>
      </c>
      <c r="C34" s="8" t="s">
        <v>596</v>
      </c>
      <c r="D34" s="18"/>
      <c r="E34" s="8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5"/>
    <col collapsed="false" customWidth="true" hidden="false" outlineLevel="0" max="6" min="5" style="0" width="30"/>
    <col collapsed="false" customWidth="true" hidden="false" outlineLevel="0" max="7" min="7" style="0" width="28"/>
  </cols>
  <sheetData>
    <row r="1" customFormat="false" ht="17.35" hidden="false" customHeight="false" outlineLevel="0" collapsed="false">
      <c r="A1" s="15" t="s">
        <v>597</v>
      </c>
      <c r="B1" s="15"/>
      <c r="C1" s="15"/>
      <c r="D1" s="15"/>
      <c r="E1" s="15"/>
      <c r="F1" s="15"/>
      <c r="G1" s="15"/>
    </row>
    <row r="2" customFormat="false" ht="15" hidden="false" customHeight="false" outlineLevel="0" collapsed="false">
      <c r="A2" s="16" t="s">
        <v>598</v>
      </c>
      <c r="B2" s="16"/>
      <c r="C2" s="16"/>
      <c r="D2" s="16"/>
      <c r="E2" s="16"/>
      <c r="F2" s="16"/>
      <c r="G2" s="16"/>
    </row>
    <row r="4" customFormat="false" ht="30" hidden="false" customHeight="true" outlineLevel="0" collapsed="false">
      <c r="A4" s="6" t="s">
        <v>599</v>
      </c>
      <c r="B4" s="6" t="s">
        <v>256</v>
      </c>
      <c r="C4" s="6" t="s">
        <v>600</v>
      </c>
      <c r="D4" s="6" t="s">
        <v>601</v>
      </c>
      <c r="E4" s="6" t="s">
        <v>602</v>
      </c>
      <c r="F4" s="6" t="s">
        <v>603</v>
      </c>
      <c r="G4" s="6" t="s">
        <v>604</v>
      </c>
    </row>
    <row r="5" customFormat="false" ht="49.5" hidden="false" customHeight="true" outlineLevel="0" collapsed="false">
      <c r="A5" s="17" t="s">
        <v>605</v>
      </c>
      <c r="B5" s="37" t="s">
        <v>606</v>
      </c>
      <c r="C5" s="8" t="s">
        <v>53</v>
      </c>
      <c r="D5" s="8" t="s">
        <v>607</v>
      </c>
      <c r="E5" s="8" t="s">
        <v>608</v>
      </c>
      <c r="F5" s="8" t="s">
        <v>609</v>
      </c>
      <c r="G5" s="8" t="s">
        <v>610</v>
      </c>
    </row>
    <row r="6" customFormat="false" ht="49.5" hidden="false" customHeight="true" outlineLevel="0" collapsed="false">
      <c r="A6" s="17" t="s">
        <v>611</v>
      </c>
      <c r="B6" s="37" t="s">
        <v>606</v>
      </c>
      <c r="C6" s="8" t="s">
        <v>612</v>
      </c>
      <c r="D6" s="8" t="s">
        <v>613</v>
      </c>
      <c r="E6" s="8" t="s">
        <v>614</v>
      </c>
      <c r="F6" s="8" t="s">
        <v>615</v>
      </c>
      <c r="G6" s="8" t="s">
        <v>616</v>
      </c>
    </row>
    <row r="7" customFormat="false" ht="49.5" hidden="false" customHeight="true" outlineLevel="0" collapsed="false">
      <c r="A7" s="17" t="s">
        <v>617</v>
      </c>
      <c r="B7" s="37" t="s">
        <v>606</v>
      </c>
      <c r="C7" s="8" t="s">
        <v>618</v>
      </c>
      <c r="D7" s="8" t="s">
        <v>619</v>
      </c>
      <c r="E7" s="8" t="s">
        <v>620</v>
      </c>
      <c r="F7" s="8" t="s">
        <v>621</v>
      </c>
      <c r="G7" s="8" t="s">
        <v>622</v>
      </c>
    </row>
    <row r="8" customFormat="false" ht="49.5" hidden="false" customHeight="true" outlineLevel="0" collapsed="false">
      <c r="A8" s="17" t="s">
        <v>623</v>
      </c>
      <c r="B8" s="37" t="s">
        <v>606</v>
      </c>
      <c r="C8" s="8" t="s">
        <v>624</v>
      </c>
      <c r="D8" s="8" t="s">
        <v>625</v>
      </c>
      <c r="E8" s="8" t="s">
        <v>626</v>
      </c>
      <c r="F8" s="8" t="s">
        <v>627</v>
      </c>
      <c r="G8" s="8" t="s">
        <v>628</v>
      </c>
    </row>
    <row r="9" customFormat="false" ht="49.5" hidden="false" customHeight="true" outlineLevel="0" collapsed="false">
      <c r="A9" s="17" t="s">
        <v>629</v>
      </c>
      <c r="B9" s="35" t="s">
        <v>630</v>
      </c>
      <c r="C9" s="8" t="s">
        <v>631</v>
      </c>
      <c r="D9" s="8" t="s">
        <v>632</v>
      </c>
      <c r="E9" s="8" t="s">
        <v>633</v>
      </c>
      <c r="F9" s="8" t="s">
        <v>634</v>
      </c>
      <c r="G9" s="8" t="s">
        <v>56</v>
      </c>
    </row>
    <row r="10" customFormat="false" ht="49.5" hidden="false" customHeight="true" outlineLevel="0" collapsed="false">
      <c r="A10" s="17" t="s">
        <v>635</v>
      </c>
      <c r="B10" s="35" t="s">
        <v>630</v>
      </c>
      <c r="C10" s="8" t="s">
        <v>636</v>
      </c>
      <c r="D10" s="8" t="s">
        <v>632</v>
      </c>
      <c r="E10" s="8" t="s">
        <v>637</v>
      </c>
      <c r="F10" s="8" t="s">
        <v>638</v>
      </c>
      <c r="G10" s="8" t="s">
        <v>639</v>
      </c>
    </row>
    <row r="11" customFormat="false" ht="49.5" hidden="false" customHeight="true" outlineLevel="0" collapsed="false">
      <c r="A11" s="17" t="s">
        <v>640</v>
      </c>
      <c r="B11" s="35" t="s">
        <v>630</v>
      </c>
      <c r="C11" s="8" t="s">
        <v>641</v>
      </c>
      <c r="D11" s="8" t="s">
        <v>642</v>
      </c>
      <c r="E11" s="8" t="s">
        <v>643</v>
      </c>
      <c r="F11" s="8" t="s">
        <v>644</v>
      </c>
      <c r="G11" s="8" t="s">
        <v>56</v>
      </c>
    </row>
    <row r="12" customFormat="false" ht="49.5" hidden="false" customHeight="true" outlineLevel="0" collapsed="false">
      <c r="A12" s="17" t="s">
        <v>645</v>
      </c>
      <c r="B12" s="35" t="s">
        <v>630</v>
      </c>
      <c r="C12" s="8" t="s">
        <v>646</v>
      </c>
      <c r="D12" s="8" t="s">
        <v>642</v>
      </c>
      <c r="E12" s="8" t="s">
        <v>647</v>
      </c>
      <c r="F12" s="8" t="s">
        <v>648</v>
      </c>
      <c r="G12" s="8" t="s">
        <v>56</v>
      </c>
    </row>
    <row r="13" customFormat="false" ht="49.5" hidden="false" customHeight="true" outlineLevel="0" collapsed="false">
      <c r="A13" s="17" t="s">
        <v>649</v>
      </c>
      <c r="B13" s="35" t="s">
        <v>630</v>
      </c>
      <c r="C13" s="8" t="s">
        <v>650</v>
      </c>
      <c r="D13" s="8" t="s">
        <v>642</v>
      </c>
      <c r="E13" s="8" t="s">
        <v>651</v>
      </c>
      <c r="F13" s="8" t="s">
        <v>652</v>
      </c>
      <c r="G13" s="8" t="s">
        <v>56</v>
      </c>
    </row>
    <row r="14" customFormat="false" ht="49.5" hidden="false" customHeight="true" outlineLevel="0" collapsed="false">
      <c r="A14" s="17" t="s">
        <v>653</v>
      </c>
      <c r="B14" s="35" t="s">
        <v>630</v>
      </c>
      <c r="C14" s="8" t="s">
        <v>654</v>
      </c>
      <c r="D14" s="8" t="s">
        <v>642</v>
      </c>
      <c r="E14" s="8" t="s">
        <v>655</v>
      </c>
      <c r="F14" s="8" t="s">
        <v>656</v>
      </c>
      <c r="G14" s="8" t="s">
        <v>657</v>
      </c>
    </row>
    <row r="15" customFormat="false" ht="49.5" hidden="false" customHeight="true" outlineLevel="0" collapsed="false">
      <c r="A15" s="17" t="s">
        <v>658</v>
      </c>
      <c r="B15" s="38" t="s">
        <v>659</v>
      </c>
      <c r="C15" s="8" t="s">
        <v>660</v>
      </c>
      <c r="D15" s="8" t="s">
        <v>661</v>
      </c>
      <c r="E15" s="8" t="s">
        <v>662</v>
      </c>
      <c r="F15" s="8" t="s">
        <v>391</v>
      </c>
      <c r="G15" s="8" t="s">
        <v>56</v>
      </c>
    </row>
    <row r="16" customFormat="false" ht="49.5" hidden="false" customHeight="true" outlineLevel="0" collapsed="false">
      <c r="A16" s="17" t="s">
        <v>663</v>
      </c>
      <c r="B16" s="38" t="s">
        <v>659</v>
      </c>
      <c r="C16" s="8" t="s">
        <v>664</v>
      </c>
      <c r="D16" s="8" t="s">
        <v>665</v>
      </c>
      <c r="E16" s="8" t="s">
        <v>666</v>
      </c>
      <c r="F16" s="8" t="s">
        <v>667</v>
      </c>
      <c r="G16" s="8" t="s">
        <v>668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2026-04-28T15:03:49Z</dcterms:created>
  <dc:creator>openpyxl</dc:creator>
  <dc:description/>
  <dc:language>en-US</dc:language>
  <cp:lastModifiedBy/>
  <dcterms:modified xsi:type="dcterms:W3CDTF">2026-04-28T15:03:49Z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